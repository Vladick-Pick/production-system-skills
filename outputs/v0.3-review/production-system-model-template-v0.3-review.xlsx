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29d2a6a98e49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83d98d95285f4652"/>
    <x:sheet xmlns:r="http://schemas.openxmlformats.org/officeDocument/2006/relationships" name="Система" sheetId="2" r:id="R16fd2f9b0a3446e8"/>
    <x:sheet xmlns:r="http://schemas.openxmlformats.org/officeDocument/2006/relationships" name="Схема шаблона" sheetId="3" r:id="Re5818f0deadd45ba"/>
    <x:sheet xmlns:r="http://schemas.openxmlformats.org/officeDocument/2006/relationships" name="Источники" sheetId="4" r:id="Rfba858c3fd364450"/>
    <x:sheet xmlns:r="http://schemas.openxmlformats.org/officeDocument/2006/relationships" name="Версии" sheetId="5" r:id="R9d70a2599d6148ac"/>
    <x:sheet xmlns:r="http://schemas.openxmlformats.org/officeDocument/2006/relationships" name="Исполнители" sheetId="6" r:id="R8951b197abb04acd"/>
    <x:sheet xmlns:r="http://schemas.openxmlformats.org/officeDocument/2006/relationships" name="Позиции" sheetId="7" r:id="Rb09807b6e16b43ad"/>
    <x:sheet xmlns:r="http://schemas.openxmlformats.org/officeDocument/2006/relationships" name="Назначения" sheetId="8" r:id="Rc998c3d6282f453b"/>
    <x:sheet xmlns:r="http://schemas.openxmlformats.org/officeDocument/2006/relationships" name="Контрагенты" sheetId="9" r:id="R0dbcf0e2e2fd4a6f"/>
    <x:sheet xmlns:r="http://schemas.openxmlformats.org/officeDocument/2006/relationships" name="Продукты" sheetId="10" r:id="R09a3dd813b7e48a5"/>
    <x:sheet xmlns:r="http://schemas.openxmlformats.org/officeDocument/2006/relationships" name="Материалы" sheetId="11" r:id="R0741307f26234d77"/>
    <x:sheet xmlns:r="http://schemas.openxmlformats.org/officeDocument/2006/relationships" name="Процессы" sheetId="12" r:id="R65bf3039b10845ee"/>
    <x:sheet xmlns:r="http://schemas.openxmlformats.org/officeDocument/2006/relationships" name="Действия" sheetId="13" r:id="R8b4382e373254675"/>
    <x:sheet xmlns:r="http://schemas.openxmlformats.org/officeDocument/2006/relationships" name="Связи действий" sheetId="14" r:id="R56d696007720493c"/>
    <x:sheet xmlns:r="http://schemas.openxmlformats.org/officeDocument/2006/relationships" name="Объекты" sheetId="15" r:id="Raa6f64bb8d62445a"/>
    <x:sheet xmlns:r="http://schemas.openxmlformats.org/officeDocument/2006/relationships" name="Состояния" sheetId="16" r:id="R497d067597784ed7"/>
    <x:sheet xmlns:r="http://schemas.openxmlformats.org/officeDocument/2006/relationships" name="Переходы" sheetId="17" r:id="R48200412d3104296"/>
    <x:sheet xmlns:r="http://schemas.openxmlformats.org/officeDocument/2006/relationships" name="Элементы модели" sheetId="18" r:id="Rc81163db643f4c43"/>
    <x:sheet xmlns:r="http://schemas.openxmlformats.org/officeDocument/2006/relationships" name="Контракты" sheetId="19" r:id="R05ef3011615b42d1"/>
    <x:sheet xmlns:r="http://schemas.openxmlformats.org/officeDocument/2006/relationships" name="Позиции контрактов" sheetId="20" r:id="Rac4f35883ef646cc"/>
    <x:sheet xmlns:r="http://schemas.openxmlformats.org/officeDocument/2006/relationships" name="Интерфейсы передачи" sheetId="21" r:id="R948cfd217bd4434e"/>
    <x:sheet xmlns:r="http://schemas.openxmlformats.org/officeDocument/2006/relationships" name="Связи модели" sheetId="22" r:id="R689c2c12123d4bf0"/>
    <x:sheet xmlns:r="http://schemas.openxmlformats.org/officeDocument/2006/relationships" name="Решения" sheetId="23" r:id="R0fa9c976e6fb4cf5"/>
    <x:sheet xmlns:r="http://schemas.openxmlformats.org/officeDocument/2006/relationships" name="Изменения модели" sheetId="24" r:id="R066a4760796345a6"/>
    <x:sheet xmlns:r="http://schemas.openxmlformats.org/officeDocument/2006/relationships" name="Отклонения" sheetId="25" r:id="Rb2b5ecff5e004c7d"/>
    <x:sheet xmlns:r="http://schemas.openxmlformats.org/officeDocument/2006/relationships" name="Гипотезы" sheetId="26" r:id="Rdeb43baaa5834cb7"/>
    <x:sheet xmlns:r="http://schemas.openxmlformats.org/officeDocument/2006/relationships" name="Эксперименты" sheetId="27" r:id="Rf152118680944575"/>
    <x:sheet xmlns:r="http://schemas.openxmlformats.org/officeDocument/2006/relationships" name="Срез модели" sheetId="28" r:id="Ra16cb255e9ff4245"/>
    <x:sheet xmlns:r="http://schemas.openxmlformats.org/officeDocument/2006/relationships" name="Проверки" sheetId="29" r:id="Rd5c0ac14d8ab49b1"/>
    <x:sheet xmlns:r="http://schemas.openxmlformats.org/officeDocument/2006/relationships" name="Реестр процессов" sheetId="30" r:id="R1ef8fb0ed23948c4"/>
    <x:sheet xmlns:r="http://schemas.openxmlformats.org/officeDocument/2006/relationships" name="Рабочая панель" sheetId="31" r:id="Re5c398211e094101"/>
    <x:sheet xmlns:r="http://schemas.openxmlformats.org/officeDocument/2006/relationships" name="Диаграммы" sheetId="32" r:id="R191ac82d7c2544e9"/>
  </x:sheets>
  <x:definedNames>
    <x:definedName name="enum_yes_no">'Система'!BA2:BA3</x:definedName>
    <x:definedName name="enum_version_operation">'Система'!BB2:BB3</x:definedName>
    <x:definedName name="enum_knowledge_status">'Система'!BC2:BC7</x:definedName>
    <x:definedName name="enum_model_layer">'Система'!BD2:BD3</x:definedName>
    <x:definedName name="enum_version_status">'Система'!BE2:BE5</x:definedName>
    <x:definedName name="enum_execution_status">'Система'!BF2:BF5</x:definedName>
    <x:definedName name="enum_performer_type">'Система'!BG2:BG3</x:definedName>
    <x:definedName name="enum_assignment_status">'Система'!BH2:BH4</x:definedName>
    <x:definedName name="enum_counterparty_type">'Система'!BI2:BI3</x:definedName>
    <x:definedName name="enum_action_type">'Система'!BJ2:BJ7</x:definedName>
    <x:definedName name="enum_performer_mode">'Система'!BK2:BK5</x:definedName>
    <x:definedName name="enum_edge_type">'Система'!BL2:BL6</x:definedName>
    <x:definedName name="enum_object_type">'Система'!BM2:BM5</x:definedName>
    <x:definedName name="enum_element_type">'Система'!BN2:BN11</x:definedName>
    <x:definedName name="enum_contract_status">'Система'!BO2:BO5</x:definedName>
    <x:definedName name="enum_direction">'Система'!BP2:BP3</x:definedName>
    <x:definedName name="enum_pricing_method">'Система'!BQ2:BQ5</x:definedName>
    <x:definedName name="enum_change_operation">'Система'!BR2:BR6</x:definedName>
    <x:definedName name="enum_projection_kind">'Система'!BS2:BS3</x:definedName>
    <x:definedName name="enum_readiness_status">'Система'!BT2:BT4</x:definedName>
    <x:definedName name="enum_resolution_status">'Система'!BU2:BU4</x:definedName>
    <x:definedName name="enum_check_severity">'Система'!BV2:BV4</x:definedName>
    <x:definedName name="enum_development_scope_type">'Система'!BW2:BW9</x:definedName>
    <x:definedName name="enum_deviation_status">'Система'!BX2:BX7</x:definedName>
    <x:definedName name="enum_deviation_type">'Система'!BY2:BY5</x:definedName>
    <x:definedName name="enum_evidence_channel">'Система'!BZ2:BZ3</x:definedName>
    <x:definedName name="enum_cause_status">'Система'!CA2:CA4</x:definedName>
    <x:definedName name="enum_verification_status">'Система'!CB2:CB5</x:definedName>
    <x:definedName name="enum_hypothesis_status">'Система'!CC2:CC6</x:definedName>
    <x:definedName name="enum_evidence_result">'Система'!CD2:CD4</x:definedName>
    <x:definedName name="enum_development_decision">'Система'!CE2:CE4</x:definedName>
    <x:definedName name="enum_experiment_status">'Система'!CF2:CF7</x:definedName>
    <x:definedName name="enum_experiment_basis_type">'Система'!CG2:CG3</x:definedName>
    <x:definedName name="selector_demo_versions">'Система'!CH1:CH1</x:definedName>
    <x:definedName name="selector_demo_versions_ids">'Система'!CI1:CI1</x:definedName>
    <x:definedName name="selector_demo_systems">'Система'!CJ1:CJ1</x:definedName>
    <x:definedName name="selector_demo_systems_ids">'Система'!CK1:CK1</x:definedName>
    <x:definedName name="selector_demo_processes">'Система'!CL1:CL1</x:definedName>
    <x:definedName name="selector_demo_processes_ids">'Система'!CM1:CM1</x:definedName>
    <x:definedName name="selector_demo_positions">'Система'!CN1:CN1</x:definedName>
    <x:definedName name="selector_demo_positions_ids">'Система'!CO1:CO1</x:definedName>
    <x:definedName name="selector_demo_metrics">'Система'!CP1:CP1</x:definedName>
    <x:definedName name="selector_demo_metrics_ids">'Система'!CQ1:CQ1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7">
    <x:font>
      <x:sz val="11"/>
      <x:name val="Carlito"/>
    </x:font>
    <x:font>
      <x:sz val="10"/>
      <x:color rgb="FF233746"/>
      <x:name val="Aptos"/>
    </x:font>
    <x:font>
      <x:b/>
      <x:sz val="18"/>
      <x:color rgb="FF233746"/>
      <x:name val="Aptos"/>
    </x:font>
    <x:font>
      <x:i/>
      <x:sz val="10"/>
      <x:color rgb="FF536B7A"/>
      <x:name val="Aptos"/>
    </x:font>
    <x:font>
      <x:b/>
      <x:sz val="10"/>
      <x:color rgb="FF233746"/>
      <x:name val="Aptos"/>
    </x:font>
    <x:font>
      <x:b/>
      <x:sz val="16"/>
      <x:color rgb="FF233746"/>
      <x:name val="Aptos"/>
    </x:font>
    <x:font>
      <x:sz val="10"/>
      <x:color rgb="FF536B7A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AF4FF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vertical="center" wrapText="1"/>
    </x:xf>
    <x:xf numFmtId="201" fontId="1" fillId="7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8A1C1C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32cc34c5c04653" /><Relationship Type="http://schemas.openxmlformats.org/officeDocument/2006/relationships/theme" Target="/xl/theme/theme1.xml" Id="Rdb33ed34215c467c" /><Relationship Type="http://schemas.openxmlformats.org/officeDocument/2006/relationships/sharedStrings" Target="/xl/sharedStrings.xml" Id="R0587ca8c41a64cbf" /><Relationship Type="http://schemas.openxmlformats.org/officeDocument/2006/relationships/worksheet" Target="/xl/worksheets/sheet1.xml" Id="R83d98d95285f4652" /><Relationship Type="http://schemas.openxmlformats.org/officeDocument/2006/relationships/worksheet" Target="/xl/worksheets/sheet2.xml" Id="R16fd2f9b0a3446e8" /><Relationship Type="http://schemas.openxmlformats.org/officeDocument/2006/relationships/worksheet" Target="/xl/worksheets/sheet3.xml" Id="Re5818f0deadd45ba" /><Relationship Type="http://schemas.openxmlformats.org/officeDocument/2006/relationships/worksheet" Target="/xl/worksheets/sheet4.xml" Id="Rfba858c3fd364450" /><Relationship Type="http://schemas.openxmlformats.org/officeDocument/2006/relationships/worksheet" Target="/xl/worksheets/sheet5.xml" Id="R9d70a2599d6148ac" /><Relationship Type="http://schemas.openxmlformats.org/officeDocument/2006/relationships/worksheet" Target="/xl/worksheets/sheet6.xml" Id="R8951b197abb04acd" /><Relationship Type="http://schemas.openxmlformats.org/officeDocument/2006/relationships/worksheet" Target="/xl/worksheets/sheet7.xml" Id="Rb09807b6e16b43ad" /><Relationship Type="http://schemas.openxmlformats.org/officeDocument/2006/relationships/worksheet" Target="/xl/worksheets/sheet8.xml" Id="Rc998c3d6282f453b" /><Relationship Type="http://schemas.openxmlformats.org/officeDocument/2006/relationships/worksheet" Target="/xl/worksheets/sheet9.xml" Id="R0dbcf0e2e2fd4a6f" /><Relationship Type="http://schemas.openxmlformats.org/officeDocument/2006/relationships/worksheet" Target="/xl/worksheets/sheet10.xml" Id="R09a3dd813b7e48a5" /><Relationship Type="http://schemas.openxmlformats.org/officeDocument/2006/relationships/worksheet" Target="/xl/worksheets/sheet11.xml" Id="R0741307f26234d77" /><Relationship Type="http://schemas.openxmlformats.org/officeDocument/2006/relationships/worksheet" Target="/xl/worksheets/sheet12.xml" Id="R65bf3039b10845ee" /><Relationship Type="http://schemas.openxmlformats.org/officeDocument/2006/relationships/worksheet" Target="/xl/worksheets/sheet13.xml" Id="R8b4382e373254675" /><Relationship Type="http://schemas.openxmlformats.org/officeDocument/2006/relationships/worksheet" Target="/xl/worksheets/sheet14.xml" Id="R56d696007720493c" /><Relationship Type="http://schemas.openxmlformats.org/officeDocument/2006/relationships/worksheet" Target="/xl/worksheets/sheet15.xml" Id="Raa6f64bb8d62445a" /><Relationship Type="http://schemas.openxmlformats.org/officeDocument/2006/relationships/worksheet" Target="/xl/worksheets/sheet16.xml" Id="R497d067597784ed7" /><Relationship Type="http://schemas.openxmlformats.org/officeDocument/2006/relationships/worksheet" Target="/xl/worksheets/sheet17.xml" Id="R48200412d3104296" /><Relationship Type="http://schemas.openxmlformats.org/officeDocument/2006/relationships/worksheet" Target="/xl/worksheets/sheet18.xml" Id="Rc81163db643f4c43" /><Relationship Type="http://schemas.openxmlformats.org/officeDocument/2006/relationships/worksheet" Target="/xl/worksheets/sheet19.xml" Id="R05ef3011615b42d1" /><Relationship Type="http://schemas.openxmlformats.org/officeDocument/2006/relationships/worksheet" Target="/xl/worksheets/sheet20.xml" Id="Rac4f35883ef646cc" /><Relationship Type="http://schemas.openxmlformats.org/officeDocument/2006/relationships/worksheet" Target="/xl/worksheets/sheet21.xml" Id="R948cfd217bd4434e" /><Relationship Type="http://schemas.openxmlformats.org/officeDocument/2006/relationships/worksheet" Target="/xl/worksheets/sheet22.xml" Id="R689c2c12123d4bf0" /><Relationship Type="http://schemas.openxmlformats.org/officeDocument/2006/relationships/worksheet" Target="/xl/worksheets/sheet23.xml" Id="R0fa9c976e6fb4cf5" /><Relationship Type="http://schemas.openxmlformats.org/officeDocument/2006/relationships/worksheet" Target="/xl/worksheets/sheet24.xml" Id="R066a4760796345a6" /><Relationship Type="http://schemas.openxmlformats.org/officeDocument/2006/relationships/worksheet" Target="/xl/worksheets/sheet25.xml" Id="Rb2b5ecff5e004c7d" /><Relationship Type="http://schemas.openxmlformats.org/officeDocument/2006/relationships/worksheet" Target="/xl/worksheets/sheet26.xml" Id="Rdeb43baaa5834cb7" /><Relationship Type="http://schemas.openxmlformats.org/officeDocument/2006/relationships/worksheet" Target="/xl/worksheets/sheet27.xml" Id="Rf152118680944575" /><Relationship Type="http://schemas.openxmlformats.org/officeDocument/2006/relationships/worksheet" Target="/xl/worksheets/sheet28.xml" Id="Ra16cb255e9ff4245" /><Relationship Type="http://schemas.openxmlformats.org/officeDocument/2006/relationships/worksheet" Target="/xl/worksheets/sheet29.xml" Id="Rd5c0ac14d8ab49b1" /><Relationship Type="http://schemas.openxmlformats.org/officeDocument/2006/relationships/worksheet" Target="/xl/worksheets/sheet30.xml" Id="R1ef8fb0ed23948c4" /><Relationship Type="http://schemas.openxmlformats.org/officeDocument/2006/relationships/worksheet" Target="/xl/worksheets/sheet31.xml" Id="Re5c398211e094101" /><Relationship Type="http://schemas.openxmlformats.org/officeDocument/2006/relationships/worksheet" Target="/xl/worksheets/sheet32.xml" Id="R191ac82d7c2544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30" hidden="0" customWidth="1"/>
    <x:col min="3" max="3" width="46.66999816894531" hidden="0" customWidth="1"/>
  </x:cols>
  <x:sheetData>
    <x:row r="1" ht="16.5" customHeight="1">
      <x:c r="A1" s="5" t="str">
        <x:v>Шаблон канонической модели бизнеса v0.3 — локальный review</x:v>
      </x:c>
      <x:c r="B1" s="5"/>
      <x:c r="C1" s="5"/>
      <x:c r="D1" s="5"/>
      <x:c r="E1" s="5"/>
      <x:c r="F1" s="5"/>
      <x:c r="G1" s="5"/>
      <x:c r="H1" s="5"/>
    </x:row>
    <x:row r="2" ht="16.5" customHeight="1">
      <x:c r="A2" s="8" t="str">
        <x:v>Демонстрационный артефакт для визуальной проверки. Это не опубликованный канонический шаблон и не данные компании.</x:v>
      </x:c>
      <x:c r="B2" s="8"/>
      <x:c r="C2" s="8"/>
      <x:c r="D2" s="8"/>
      <x:c r="E2" s="8"/>
      <x:c r="F2" s="8"/>
      <x:c r="G2" s="8"/>
      <x:c r="H2" s="8"/>
    </x:row>
    <x:row r="3" ht="16.5" customHeight="1">
      <x:c r="A3" s="2"/>
      <x:c r="B3" s="2"/>
      <x:c r="C3" s="2"/>
      <x:c r="D3" s="2"/>
      <x:c r="E3" s="2"/>
      <x:c r="F3" s="2"/>
      <x:c r="G3" s="2"/>
      <x:c r="H3" s="2"/>
    </x:row>
    <x:row r="4" ht="16.5" customHeight="1">
      <x:c r="A4" s="12" t="str">
        <x:v>Шаг</x:v>
      </x:c>
      <x:c r="B4" s="12" t="str">
        <x:v>Что делать</x:v>
      </x:c>
      <x:c r="C4" s="12" t="str">
        <x:v>Зачем</x:v>
      </x:c>
      <x:c r="D4" s="2"/>
      <x:c r="E4" s="2"/>
      <x:c r="F4" s="2"/>
      <x:c r="G4" s="2"/>
      <x:c r="H4" s="2"/>
    </x:row>
    <x:row r="5" ht="16.5" customHeight="1">
      <x:c r="A5" s="14" t="str">
        <x:v>1</x:v>
      </x:c>
      <x:c r="B5" s="14" t="str">
        <x:v>Выберите читаемое значение в selector</x:v>
      </x:c>
      <x:c r="C5" s="14" t="str">
        <x:v>Стабильный ID хранится рядом и остаётся видимым</x:v>
      </x:c>
      <x:c r="D5" s="2"/>
      <x:c r="E5" s="2"/>
      <x:c r="F5" s="2"/>
      <x:c r="G5" s="2"/>
      <x:c r="H5" s="2"/>
    </x:row>
    <x:row r="6" ht="16.5" customHeight="1">
      <x:c r="A6" s="14" t="str">
        <x:v>2</x:v>
      </x:c>
      <x:c r="B6" s="14" t="str">
        <x:v>Сначала уточните смысл и связи</x:v>
      </x:c>
      <x:c r="C6" s="14" t="str">
        <x:v>Запись создаётся только после полного пакета и подтверждения</x:v>
      </x:c>
      <x:c r="D6" s="2"/>
      <x:c r="E6" s="2"/>
      <x:c r="F6" s="2"/>
      <x:c r="G6" s="2"/>
      <x:c r="H6" s="2"/>
    </x:row>
    <x:row r="7" ht="16.5" customHeight="1">
      <x:c r="A7" s="14" t="str">
        <x:v>3</x:v>
      </x:c>
      <x:c r="B7" s="14" t="str">
        <x:v>Отклонение сравнивайте с действующей нормой</x:v>
      </x:c>
      <x:c r="C7" s="14" t="str">
        <x:v>Разница с будущей целью — не отклонение</x:v>
      </x:c>
      <x:c r="D7" s="2"/>
      <x:c r="E7" s="2"/>
      <x:c r="F7" s="2"/>
      <x:c r="G7" s="2"/>
      <x:c r="H7" s="2"/>
    </x:row>
    <x:row r="8" ht="16.5" customHeight="1">
      <x:c r="A8" s="14" t="str">
        <x:v>4</x:v>
      </x:c>
      <x:c r="B8" s="14" t="str">
        <x:v>Гипотезу начинайте с внешней возможности</x:v>
      </x:c>
      <x:c r="C8" s="14" t="str">
        <x:v>Причина отклонения остаётся причиной</x:v>
      </x:c>
      <x:c r="D8" s="2"/>
      <x:c r="E8" s="2"/>
      <x:c r="F8" s="2"/>
      <x:c r="G8" s="2"/>
      <x:c r="H8" s="2"/>
    </x:row>
    <x:row r="9" ht="16.5" customHeight="1">
      <x:c r="A9" s="14" t="str">
        <x:v>5</x:v>
      </x:c>
      <x:c r="B9" s="14" t="str">
        <x:v>Эксперимент связывайте с одним основанием</x:v>
      </x:c>
      <x:c r="C9" s="14" t="str">
        <x:v>Проверяется отклонение или гипотеза, не оба сразу</x:v>
      </x:c>
      <x:c r="D9" s="2"/>
      <x:c r="E9" s="2"/>
      <x:c r="F9" s="2"/>
      <x:c r="G9" s="2"/>
      <x:c r="H9" s="2"/>
    </x:row>
    <x:row r="10" ht="16.5" customHeight="1">
      <x:c r="A10" s="14" t="str">
        <x:v>6</x:v>
      </x:c>
      <x:c r="B10" s="14" t="str">
        <x:v>Используйте Рабочую панель</x:v>
      </x:c>
      <x:c r="C10" s="14" t="str">
        <x:v>Она связывает процесс, объект, материалы, контракты и контур развития</x:v>
      </x:c>
      <x:c r="D10" s="2"/>
      <x:c r="E10" s="2"/>
      <x:c r="F10" s="2"/>
      <x:c r="G10" s="2"/>
      <x:c r="H10" s="2"/>
    </x:row>
    <x:row r="11" ht="16.5" customHeight="1">
      <x:c r="A11" s="14" t="str">
        <x:v>7</x:v>
      </x:c>
      <x:c r="B11" s="14" t="str">
        <x:v>Мигрируйте v0.2 только в отдельную копию</x:v>
      </x:c>
      <x:c r="C11" s="14" t="str">
        <x:v>Исходная книга остаётся точкой rollback</x:v>
      </x:c>
      <x:c r="D11" s="2"/>
      <x:c r="E11" s="2"/>
      <x:c r="F11" s="2"/>
      <x:c r="G11" s="2"/>
      <x:c r="H11" s="2"/>
    </x:row>
    <x:row r="12" ht="16.5" customHeight="1">
      <x:c r="A12" s="2"/>
      <x:c r="B12" s="2"/>
      <x:c r="C12" s="2"/>
      <x:c r="D12" s="2"/>
      <x:c r="E12" s="2"/>
      <x:c r="F12" s="2"/>
      <x:c r="G12" s="2"/>
      <x:c r="H12" s="2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6.110000610351562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</x:cols>
  <x:sheetData>
    <x:row r="1" ht="25.5" customHeight="1">
      <x:c r="A1" s="16" t="str">
        <x:v>Система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BA1" t="str">
        <x:v>yes_no</x:v>
      </x:c>
      <x:c r="BB1" t="str">
        <x:v>version_operation</x:v>
      </x:c>
      <x:c r="BC1" t="str">
        <x:v>knowledge_status</x:v>
      </x:c>
      <x:c r="BD1" t="str">
        <x:v>model_layer</x:v>
      </x:c>
      <x:c r="BE1" t="str">
        <x:v>version_status</x:v>
      </x:c>
      <x:c r="BF1" t="str">
        <x:v>execution_status</x:v>
      </x:c>
      <x:c r="BG1" t="str">
        <x:v>performer_type</x:v>
      </x:c>
      <x:c r="BH1" t="str">
        <x:v>assignment_status</x:v>
      </x:c>
      <x:c r="BI1" t="str">
        <x:v>counterparty_type</x:v>
      </x:c>
      <x:c r="BJ1" t="str">
        <x:v>action_type</x:v>
      </x:c>
      <x:c r="BK1" t="str">
        <x:v>performer_mode</x:v>
      </x:c>
      <x:c r="BL1" t="str">
        <x:v>edge_type</x:v>
      </x:c>
      <x:c r="BM1" t="str">
        <x:v>object_type</x:v>
      </x:c>
      <x:c r="BN1" t="str">
        <x:v>element_type</x:v>
      </x:c>
      <x:c r="BO1" t="str">
        <x:v>contract_status</x:v>
      </x:c>
      <x:c r="BP1" t="str">
        <x:v>direction</x:v>
      </x:c>
      <x:c r="BQ1" t="str">
        <x:v>pricing_method</x:v>
      </x:c>
      <x:c r="BR1" t="str">
        <x:v>change_operation</x:v>
      </x:c>
      <x:c r="BS1" t="str">
        <x:v>projection_kind</x:v>
      </x:c>
      <x:c r="BT1" t="str">
        <x:v>readiness_status</x:v>
      </x:c>
      <x:c r="BU1" t="str">
        <x:v>resolution_status</x:v>
      </x:c>
      <x:c r="BV1" t="str">
        <x:v>check_severity</x:v>
      </x:c>
      <x:c r="BW1" t="str">
        <x:v>development_scope_type</x:v>
      </x:c>
      <x:c r="BX1" t="str">
        <x:v>deviation_status</x:v>
      </x:c>
      <x:c r="BY1" t="str">
        <x:v>deviation_type</x:v>
      </x:c>
      <x:c r="BZ1" t="str">
        <x:v>evidence_channel</x:v>
      </x:c>
      <x:c r="CA1" t="str">
        <x:v>cause_status</x:v>
      </x:c>
      <x:c r="CB1" t="str">
        <x:v>verification_status</x:v>
      </x:c>
      <x:c r="CC1" t="str">
        <x:v>hypothesis_status</x:v>
      </x:c>
      <x:c r="CD1" t="str">
        <x:v>evidence_result</x:v>
      </x:c>
      <x:c r="CE1" t="str">
        <x:v>development_decision</x:v>
      </x:c>
      <x:c r="CF1" t="str">
        <x:v>experiment_status</x:v>
      </x:c>
      <x:c r="CG1" t="str">
        <x:v>experiment_basis_type</x:v>
      </x:c>
      <x:c r="CH1" t="str">
        <x:v>Текущая модель v0.3</x:v>
      </x:c>
      <x:c r="CI1" t="str">
        <x:v>ver-demo-v0.3</x:v>
      </x:c>
      <x:c r="CJ1" t="str">
        <x:v>Привлечение</x:v>
      </x:c>
      <x:c r="CK1" t="str">
        <x:v>ps-demo-attraction</x:v>
      </x:c>
      <x:c r="CL1" t="str">
        <x:v>Обработка лида</x:v>
      </x:c>
      <x:c r="CM1" t="str">
        <x:v>prc-demo-lead</x:v>
      </x:c>
      <x:c r="CN1" t="str">
        <x:v>Владелец ПС</x:v>
      </x:c>
      <x:c r="CO1" t="str">
        <x:v>pos-demo-owner</x:v>
      </x:c>
      <x:c r="CP1" t="str">
        <x:v>Медианное время квалификации</x:v>
      </x:c>
      <x:c r="CQ1" t="str">
        <x:v>metric-demo-duration</x:v>
      </x:c>
    </x:row>
    <x:row r="2" ht="22.5" customHeight="1">
      <x:c r="A2" s="18" t="str">
        <x:v>Настройки одной модели бизнеса и внутренние производственные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BA2" t="str">
        <x:v>да</x:v>
      </x:c>
      <x:c r="BB2" t="str">
        <x:v>применить</x:v>
      </x:c>
      <x:c r="BC2" t="str">
        <x:v>принято</x:v>
      </x:c>
      <x:c r="BD2" t="str">
        <x:v>текущая</x:v>
      </x:c>
      <x:c r="BE2" t="str">
        <x:v>черновик</x:v>
      </x:c>
      <x:c r="BF2" t="str">
        <x:v>исполняется</x:v>
      </x:c>
      <x:c r="BG2" t="str">
        <x:v>человек</x:v>
      </x:c>
      <x:c r="BH2" t="str">
        <x:v>активно</x:v>
      </x:c>
      <x:c r="BI2" t="str">
        <x:v>организация</x:v>
      </x:c>
      <x:c r="BJ2" t="str">
        <x:v>работа</x:v>
      </x:c>
      <x:c r="BK2" t="str">
        <x:v>человек</x:v>
      </x:c>
      <x:c r="BL2" t="str">
        <x:v>последовательность</x:v>
      </x:c>
      <x:c r="BM2" t="str">
        <x:v>объект работы</x:v>
      </x:c>
      <x:c r="BN2" t="str">
        <x:v>регламент</x:v>
      </x:c>
      <x:c r="BO2" t="str">
        <x:v>проект</x:v>
      </x:c>
      <x:c r="BP2" t="str">
        <x:v>входящая</x:v>
      </x:c>
      <x:c r="BQ2" t="str">
        <x:v>за единицу</x:v>
      </x:c>
      <x:c r="BR2" t="str">
        <x:v>создать</x:v>
      </x:c>
      <x:c r="BS2" t="str">
        <x:v>карта бизнеса</x:v>
      </x:c>
      <x:c r="BT2" t="str">
        <x:v>не готова</x:v>
      </x:c>
      <x:c r="BU2" t="str">
        <x:v>разрешено</x:v>
      </x:c>
      <x:c r="BV2" t="str">
        <x:v>критично</x:v>
      </x:c>
      <x:c r="BW2" t="str">
        <x:v>действие</x:v>
      </x:c>
      <x:c r="BX2" t="str">
        <x:v>кандидат</x:v>
      </x:c>
      <x:c r="BY2" t="str">
        <x:v>инструментальное</x:v>
      </x:c>
      <x:c r="BZ2" t="str">
        <x:v>интерфейс исполнения</x:v>
      </x:c>
      <x:c r="CA2" t="str">
        <x:v>предполагается</x:v>
      </x:c>
      <x:c r="CB2" t="str">
        <x:v>не проверено</x:v>
      </x:c>
      <x:c r="CC2" t="str">
        <x:v>кандидат</x:v>
      </x:c>
      <x:c r="CD2" t="str">
        <x:v>поддержана</x:v>
      </x:c>
      <x:c r="CE2" t="str">
        <x:v>внедрить</x:v>
      </x:c>
      <x:c r="CF2" t="str">
        <x:v>кандидат</x:v>
      </x:c>
      <x:c r="CG2" t="str">
        <x:v>отклонение</x:v>
      </x:c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BA3" t="str">
        <x:v>нет</x:v>
      </x:c>
      <x:c r="BB3" t="str">
        <x:v>исключить</x:v>
      </x:c>
      <x:c r="BC3" t="str">
        <x:v>кандидат</x:v>
      </x:c>
      <x:c r="BD3" t="str">
        <x:v>целевая</x:v>
      </x:c>
      <x:c r="BE3" t="str">
        <x:v>принято</x:v>
      </x:c>
      <x:c r="BF3" t="str">
        <x:v>не исполняется</x:v>
      </x:c>
      <x:c r="BG3" t="str">
        <x:v>AI-агент</x:v>
      </x:c>
      <x:c r="BH3" t="str">
        <x:v>завершено</x:v>
      </x:c>
      <x:c r="BI3" t="str">
        <x:v>человек</x:v>
      </x:c>
      <x:c r="BJ3" t="str">
        <x:v>решение</x:v>
      </x:c>
      <x:c r="BK3" t="str">
        <x:v>AI-агент</x:v>
      </x:c>
      <x:c r="BL3" t="str">
        <x:v>условие</x:v>
      </x:c>
      <x:c r="BM3" t="str">
        <x:v>данные</x:v>
      </x:c>
      <x:c r="BN3" t="str">
        <x:v>правило</x:v>
      </x:c>
      <x:c r="BO3" t="str">
        <x:v>действует</x:v>
      </x:c>
      <x:c r="BP3" t="str">
        <x:v>исходящая</x:v>
      </x:c>
      <x:c r="BQ3" t="str">
        <x:v>фиксированная сумма</x:v>
      </x:c>
      <x:c r="BR3" t="str">
        <x:v>изменить</x:v>
      </x:c>
      <x:c r="BS3" t="str">
        <x:v>BPMN процесса</x:v>
      </x:c>
      <x:c r="BT3" t="str">
        <x:v>готова к просмотру</x:v>
      </x:c>
      <x:c r="BU3" t="str">
        <x:v>исключено</x:v>
      </x:c>
      <x:c r="BV3" t="str">
        <x:v>предупреждение</x:v>
      </x:c>
      <x:c r="BW3" t="str">
        <x:v>процесс</x:v>
      </x:c>
      <x:c r="BX3" t="str">
        <x:v>подтверждено</x:v>
      </x:c>
      <x:c r="BY3" t="str">
        <x:v>операционное</x:v>
      </x:c>
      <x:c r="BZ3" t="str">
        <x:v>коммуникация</x:v>
      </x:c>
      <x:c r="CA3" t="str">
        <x:v>подтверждена</x:v>
      </x:c>
      <x:c r="CB3" t="str">
        <x:v>проверяется</x:v>
      </x:c>
      <x:c r="CC3" t="str">
        <x:v>сформулирована</x:v>
      </x:c>
      <x:c r="CD3" t="str">
        <x:v>опровергнута</x:v>
      </x:c>
      <x:c r="CE3" t="str">
        <x:v>проверить ещё</x:v>
      </x:c>
      <x:c r="CF3" t="str">
        <x:v>подготовлен</x:v>
      </x:c>
      <x:c r="CG3" t="str">
        <x:v>гипотеза</x:v>
      </x:c>
    </x:row>
    <x:row r="4" ht="16.5" customHeight="1">
      <x:c r="A4" s="12" t="str">
        <x:v>system_id</x:v>
      </x:c>
      <x:c r="B4" s="12" t="str">
        <x:v>version_id</x:v>
      </x:c>
      <x:c r="C4" s="12" t="str">
        <x:v>version_operation</x:v>
      </x:c>
      <x:c r="D4" s="12" t="str">
        <x:v>system_name</x:v>
      </x:c>
      <x:c r="E4" s="25" t="str">
        <x:v>org_tag</x:v>
      </x:c>
      <x:c r="F4" s="12" t="str">
        <x:v>purpose</x:v>
      </x:c>
      <x:c r="G4" s="25" t="str">
        <x:v>owner_position_id</x:v>
      </x:c>
      <x:c r="H4" s="25" t="str">
        <x:v>owner_position_selector</x:v>
      </x:c>
      <x:c r="I4" s="12" t="str">
        <x:v>knowledge_status</x:v>
      </x:c>
      <x:c r="J4" s="12" t="str">
        <x:v>source_id</x:v>
      </x:c>
      <x:c r="K4" s="25" t="str">
        <x:v>source_selector</x:v>
      </x:c>
      <x:c r="L4" s="25" t="str">
        <x:v>source_locator</x:v>
      </x:c>
      <x:c r="M4" s="25" t="str">
        <x:v>last_reviewed</x:v>
      </x:c>
      <x:c r="N4" s="25" t="str">
        <x:v>notes</x:v>
      </x:c>
      <x:c r="BC4" t="str">
        <x:v>предположение</x:v>
      </x:c>
      <x:c r="BE4" t="str">
        <x:v>действует</x:v>
      </x:c>
      <x:c r="BF4" t="str">
        <x:v>уточняется</x:v>
      </x:c>
      <x:c r="BH4" t="str">
        <x:v>приостановлено</x:v>
      </x:c>
      <x:c r="BJ4" t="str">
        <x:v>передача</x:v>
      </x:c>
      <x:c r="BK4" t="str">
        <x:v>автоматизация</x:v>
      </x:c>
      <x:c r="BL4" t="str">
        <x:v>ветвление</x:v>
      </x:c>
      <x:c r="BM4" t="str">
        <x:v>документ</x:v>
      </x:c>
      <x:c r="BN4" t="str">
        <x:v>данные</x:v>
      </x:c>
      <x:c r="BO4" t="str">
        <x:v>приостановлен</x:v>
      </x:c>
      <x:c r="BQ4" t="str">
        <x:v>подписка</x:v>
      </x:c>
      <x:c r="BR4" t="str">
        <x:v>исключить</x:v>
      </x:c>
      <x:c r="BT4" t="str">
        <x:v>готова к deployment</x:v>
      </x:c>
      <x:c r="BU4" t="str">
        <x:v>ошибка</x:v>
      </x:c>
      <x:c r="BV4" t="str">
        <x:v>информация</x:v>
      </x:c>
      <x:c r="BW4" t="str">
        <x:v>производственная система</x:v>
      </x:c>
      <x:c r="BX4" t="str">
        <x:v>в устранении</x:v>
      </x:c>
      <x:c r="BY4" t="str">
        <x:v>системное</x:v>
      </x:c>
      <x:c r="CA4" t="str">
        <x:v>не подтверждена</x:v>
      </x:c>
      <x:c r="CB4" t="str">
        <x:v>подтверждено</x:v>
      </x:c>
      <x:c r="CC4" t="str">
        <x:v>проверяется</x:v>
      </x:c>
      <x:c r="CD4" t="str">
        <x:v>неопределённо</x:v>
      </x:c>
      <x:c r="CE4" t="str">
        <x:v>отклонить</x:v>
      </x:c>
      <x:c r="CF4" t="str">
        <x:v>разрешён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BC5" t="str">
        <x:v>конфликт</x:v>
      </x:c>
      <x:c r="BE5" t="str">
        <x:v>закрыто</x:v>
      </x:c>
      <x:c r="BF5" t="str">
        <x:v>не применимо</x:v>
      </x:c>
      <x:c r="BJ5" t="str">
        <x:v>контроль</x:v>
      </x:c>
      <x:c r="BK5" t="str">
        <x:v>совместно</x:v>
      </x:c>
      <x:c r="BL5" t="str">
        <x:v>исключение</x:v>
      </x:c>
      <x:c r="BM5" t="str">
        <x:v>ресурс</x:v>
      </x:c>
      <x:c r="BN5" t="str">
        <x:v>источник истины</x:v>
      </x:c>
      <x:c r="BO5" t="str">
        <x:v>закрыт</x:v>
      </x:c>
      <x:c r="BQ5" t="str">
        <x:v>формула</x:v>
      </x:c>
      <x:c r="BR5" t="str">
        <x:v>переход-версии</x:v>
      </x:c>
      <x:c r="BW5" t="str">
        <x:v>объект</x:v>
      </x:c>
      <x:c r="BX5" t="str">
        <x:v>проверяется</x:v>
      </x:c>
      <x:c r="BY5" t="str">
        <x:v>не определено</x:v>
      </x:c>
      <x:c r="CB5" t="str">
        <x:v>не подтверждено</x:v>
      </x:c>
      <x:c r="CC5" t="str">
        <x:v>проверена</x:v>
      </x:c>
      <x:c r="CF5" t="str">
        <x:v>выполняется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BC6" t="str">
        <x:v>устарело</x:v>
      </x:c>
      <x:c r="BJ6" t="str">
        <x:v>автоматизация</x:v>
      </x:c>
      <x:c r="BL6" t="str">
        <x:v>возврат</x:v>
      </x:c>
      <x:c r="BN6" t="str">
        <x:v>информационная система</x:v>
      </x:c>
      <x:c r="BR6" t="str">
        <x:v>пересобрать-проекцию</x:v>
      </x:c>
      <x:c r="BW6" t="str">
        <x:v>состояние</x:v>
      </x:c>
      <x:c r="BX6" t="str">
        <x:v>закрыто</x:v>
      </x:c>
      <x:c r="CC6" t="str">
        <x:v>закрыта</x:v>
      </x:c>
      <x:c r="CF6" t="str">
        <x:v>завершён</x:v>
      </x:c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BC7" t="str">
        <x:v>неизвестно</x:v>
      </x:c>
      <x:c r="BJ7" t="str">
        <x:v>подпроцесс</x:v>
      </x:c>
      <x:c r="BN7" t="str">
        <x:v>интерфейс исполнения</x:v>
      </x:c>
      <x:c r="BW7" t="str">
        <x:v>продукт</x:v>
      </x:c>
      <x:c r="BX7" t="str">
        <x:v>не подтверждено</x:v>
      </x:c>
      <x:c r="CF7" t="str">
        <x:v>остановлен</x:v>
      </x:c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BN8" t="str">
        <x:v>показатель</x:v>
      </x:c>
      <x:c r="BW8" t="str">
        <x:v>материал</x:v>
      </x:c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BN9" t="str">
        <x:v>норматив</x:v>
      </x:c>
      <x:c r="BW9" t="str">
        <x:v>показатель</x:v>
      </x:c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BN10" t="str">
        <x:v>SLA</x:v>
      </x:c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BN11" t="str">
        <x:v>автоматизация</x:v>
      </x:c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</x:cols>
  <x:sheetData>
    <x:row r="1" ht="25.5" customHeight="1">
      <x:c r="A1" s="16" t="str">
        <x:v>Схема шаблона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Схема шаблона.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25" t="str">
        <x:v>relation_id</x:v>
      </x:c>
      <x:c r="B4" s="25" t="str">
        <x:v>source_field</x:v>
      </x:c>
      <x:c r="C4" s="25" t="str">
        <x:v>cardinality</x:v>
      </x:c>
      <x:c r="D4" s="25" t="str">
        <x:v>target_field</x:v>
      </x:c>
      <x:c r="E4" s="25" t="str">
        <x:v>requiredness</x:v>
      </x:c>
      <x:c r="F4" s="25" t="str">
        <x:v>validation</x:v>
      </x:c>
      <x:c r="G4" s="25" t="str">
        <x:v>business_meaning</x:v>
      </x:c>
      <x:c r="H4" s="14"/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</x:cols>
  <x:sheetData>
    <x:row r="1" ht="25.5" customHeight="1">
      <x:c r="A1" s="16" t="str">
        <x:v>Источники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</x:row>
    <x:row r="2" ht="22.5" customHeight="1">
      <x:c r="A2" s="18" t="str">
        <x:v>Лист канонической модели v0.3: Источники.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</x:row>
    <x:row r="4" ht="16.5" customHeight="1">
      <x:c r="A4" s="12" t="str">
        <x:v>source_id</x:v>
      </x:c>
      <x:c r="B4" s="12" t="str">
        <x:v>title</x:v>
      </x:c>
      <x:c r="C4" s="12" t="str">
        <x:v>source_type</x:v>
      </x:c>
      <x:c r="D4" s="25" t="str">
        <x:v>url</x:v>
      </x:c>
      <x:c r="E4" s="12" t="str">
        <x:v>authority_level</x:v>
      </x:c>
      <x:c r="F4" s="25" t="str">
        <x:v>owner_position_id</x:v>
      </x:c>
      <x:c r="G4" s="25" t="str">
        <x:v>owner_position_selector</x:v>
      </x:c>
      <x:c r="H4" s="12" t="str">
        <x:v>trust_floor</x:v>
      </x:c>
      <x:c r="I4" s="25" t="str">
        <x:v>valid_from</x:v>
      </x:c>
      <x:c r="J4" s="25" t="str">
        <x:v>valid_to</x:v>
      </x:c>
      <x:c r="K4" s="12" t="str">
        <x:v>last_checked</x:v>
      </x:c>
      <x:c r="L4" s="12" t="str">
        <x:v>active</x:v>
      </x:c>
      <x:c r="M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</x:cols>
  <x:sheetData>
    <x:row r="1" ht="25.5" customHeight="1">
      <x:c r="A1" s="16" t="str">
        <x:v>Версии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Версии.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version_id</x:v>
      </x:c>
      <x:c r="B4" s="25" t="str">
        <x:v>predecessor_version_id</x:v>
      </x:c>
      <x:c r="C4" s="25" t="str">
        <x:v>predecessor_version_selector</x:v>
      </x:c>
      <x:c r="D4" s="12" t="str">
        <x:v>version_label</x:v>
      </x:c>
      <x:c r="E4" s="12" t="str">
        <x:v>model_layer</x:v>
      </x:c>
      <x:c r="F4" s="12" t="str">
        <x:v>version_status</x:v>
      </x:c>
      <x:c r="G4" s="25" t="str">
        <x:v>accepted_decision_id</x:v>
      </x:c>
      <x:c r="H4" s="25" t="str">
        <x:v>accepted_decision_selector</x:v>
      </x:c>
      <x:c r="I4" s="25" t="str">
        <x:v>accepted_at</x:v>
      </x:c>
      <x:c r="J4" s="25" t="str">
        <x:v>effective_from</x:v>
      </x:c>
      <x:c r="K4" s="25" t="str">
        <x:v>closed_decision_id</x:v>
      </x:c>
      <x:c r="L4" s="25" t="str">
        <x:v>closed_decision_selector</x:v>
      </x:c>
      <x:c r="M4" s="25" t="str">
        <x:v>successor_version_id</x:v>
      </x:c>
      <x:c r="N4" s="25" t="str">
        <x:v>successor_version_selector</x:v>
      </x:c>
      <x:c r="O4" s="12" t="str">
        <x:v>migration_required</x:v>
      </x:c>
      <x:c r="P4" s="25" t="str">
        <x:v>migration_decision_id</x:v>
      </x:c>
      <x:c r="Q4" s="25" t="str">
        <x:v>migration_decision_selector</x:v>
      </x:c>
      <x:c r="R4" s="12" t="str">
        <x:v>source_id</x:v>
      </x:c>
      <x:c r="S4" s="25" t="str">
        <x:v>source_selector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</x:cols>
  <x:sheetData>
    <x:row r="1" ht="25.5" customHeight="1">
      <x:c r="A1" s="16" t="str">
        <x:v>Исполнители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Исполнители.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12" t="str">
        <x:v>performer_id</x:v>
      </x:c>
      <x:c r="B4" s="12" t="str">
        <x:v>performer_type</x:v>
      </x:c>
      <x:c r="C4" s="12" t="str">
        <x:v>performer_name</x:v>
      </x:c>
      <x:c r="D4" s="12" t="str">
        <x:v>active</x:v>
      </x:c>
      <x:c r="E4" s="12" t="str">
        <x:v>source_id</x:v>
      </x:c>
      <x:c r="F4" s="25" t="str">
        <x:v>source_selector</x:v>
      </x:c>
      <x:c r="G4" s="25" t="str">
        <x:v>source_locator</x:v>
      </x:c>
      <x:c r="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Позиции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Позиции.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position_id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position_name</x:v>
      </x:c>
      <x:c r="G4" s="12" t="str">
        <x:v>responsibility</x:v>
      </x:c>
      <x:c r="H4" s="12" t="str">
        <x:v>expected_result</x:v>
      </x:c>
      <x:c r="I4" s="25" t="str">
        <x:v>authority</x:v>
      </x:c>
      <x:c r="J4" s="12" t="str">
        <x:v>system_owner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</x:cols>
  <x:sheetData>
    <x:row r="1" ht="25.5" customHeight="1">
      <x:c r="A1" s="16" t="str">
        <x:v>Назначения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22.5" customHeight="1">
      <x:c r="A2" s="18" t="str">
        <x:v>Лист канонической модели v0.3: Назначения.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6.5" customHeight="1">
      <x:c r="A4" s="12" t="str">
        <x:v>assignment_id</x:v>
      </x:c>
      <x:c r="B4" s="12" t="str">
        <x:v>performer_id</x:v>
      </x:c>
      <x:c r="C4" s="25" t="str">
        <x:v>performer_selector</x:v>
      </x:c>
      <x:c r="D4" s="12" t="str">
        <x:v>position_id</x:v>
      </x:c>
      <x:c r="E4" s="25" t="str">
        <x:v>position_selector</x:v>
      </x:c>
      <x:c r="F4" s="25" t="str">
        <x:v>active_from</x:v>
      </x:c>
      <x:c r="G4" s="25" t="str">
        <x:v>active_to</x:v>
      </x:c>
      <x:c r="H4" s="12" t="str">
        <x:v>assignment_status</x:v>
      </x:c>
      <x:c r="I4" s="12" t="str">
        <x:v>source_id</x:v>
      </x:c>
      <x:c r="J4" s="25" t="str">
        <x:v>source_selector</x:v>
      </x:c>
      <x:c r="K4" s="25" t="str">
        <x:v>source_locator</x:v>
      </x:c>
      <x:c r="L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Контрагенты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Контрагенты.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12" t="str">
        <x:v>counterparty_id</x:v>
      </x:c>
      <x:c r="B4" s="12" t="str">
        <x:v>counterparty_name</x:v>
      </x:c>
      <x:c r="C4" s="25" t="str">
        <x:v>legal_name</x:v>
      </x:c>
      <x:c r="D4" s="12" t="str">
        <x:v>counterparty_type</x:v>
      </x:c>
      <x:c r="E4" s="12" t="str">
        <x:v>active</x:v>
      </x:c>
      <x:c r="F4" s="12" t="str">
        <x:v>source_id</x:v>
      </x:c>
      <x:c r="G4" s="25" t="str">
        <x:v>source_selector</x:v>
      </x:c>
      <x:c r="H4" s="25" t="str">
        <x:v>source_locator</x:v>
      </x:c>
      <x:c r="I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</x:cols>
  <x:sheetData>
    <x:row r="1" ht="25.5" customHeight="1">
      <x:c r="A1" s="16" t="str">
        <x:v>Продукты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Продукты.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product_id</x:v>
      </x:c>
      <x:c r="B4" s="12" t="str">
        <x:v>version_id</x:v>
      </x:c>
      <x:c r="C4" s="12" t="str">
        <x:v>version_operation</x:v>
      </x:c>
      <x:c r="D4" s="12" t="str">
        <x:v>product_name</x:v>
      </x:c>
      <x:c r="E4" s="12" t="str">
        <x:v>definition</x:v>
      </x:c>
      <x:c r="F4" s="25" t="str">
        <x:v>primary_object_id</x:v>
      </x:c>
      <x:c r="G4" s="25" t="str">
        <x:v>primary_object_selector</x:v>
      </x:c>
      <x:c r="H4" s="25" t="str">
        <x:v>required_state_id</x:v>
      </x:c>
      <x:c r="I4" s="25" t="str">
        <x:v>required_state_selector</x:v>
      </x:c>
      <x:c r="J4" s="25" t="str">
        <x:v>unit</x:v>
      </x:c>
      <x:c r="K4" s="12" t="str">
        <x:v>acceptance_criteria</x:v>
      </x:c>
      <x:c r="L4" s="25" t="str">
        <x:v>acceptance_package_description</x:v>
      </x:c>
      <x:c r="M4" s="25" t="str">
        <x:v>owner_position_id</x:v>
      </x:c>
      <x:c r="N4" s="25" t="str">
        <x:v>owner_position_selector</x:v>
      </x:c>
      <x:c r="O4" s="12" t="str">
        <x:v>knowledge_status</x:v>
      </x:c>
      <x:c r="P4" s="12" t="str">
        <x:v>source_id</x:v>
      </x:c>
      <x:c r="Q4" s="25" t="str">
        <x:v>source_selector</x:v>
      </x:c>
      <x:c r="R4" s="25" t="str">
        <x:v>source_locator</x:v>
      </x:c>
      <x:c r="S4" s="25" t="str">
        <x:v>last_reviewed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Материалы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Материалы.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material_id</x:v>
      </x:c>
      <x:c r="B4" s="12" t="str">
        <x:v>version_id</x:v>
      </x:c>
      <x:c r="C4" s="12" t="str">
        <x:v>version_operation</x:v>
      </x:c>
      <x:c r="D4" s="12" t="str">
        <x:v>material_name</x:v>
      </x:c>
      <x:c r="E4" s="12" t="str">
        <x:v>material_type</x:v>
      </x:c>
      <x:c r="F4" s="12" t="str">
        <x:v>purpose</x:v>
      </x:c>
      <x:c r="G4" s="25" t="str">
        <x:v>content_text</x:v>
      </x:c>
      <x:c r="H4" s="25" t="str">
        <x:v>url</x:v>
      </x:c>
      <x:c r="I4" s="25" t="str">
        <x:v>owner_position_id</x:v>
      </x:c>
      <x:c r="J4" s="25" t="str">
        <x:v>owner_position_selector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9.440000534057617" hidden="0" customWidth="1"/>
    <x:col min="23" max="23" width="19.440000534057617" hidden="0" customWidth="1"/>
    <x:col min="24" max="24" width="16.110000610351562" hidden="0" customWidth="1"/>
    <x:col min="25" max="25" width="26.670000076293945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</x:cols>
  <x:sheetData>
    <x:row r="1" ht="25.5" customHeight="1">
      <x:c r="A1" s="16" t="str">
        <x:v>Процессы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2.5" customHeight="1">
      <x:c r="A2" s="18" t="str">
        <x:v>Лист канонической модели v0.3: Процессы.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16.5" customHeight="1">
      <x:c r="A4" s="12" t="str">
        <x:v>process_id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25" t="str">
        <x:v>parent_process_id</x:v>
      </x:c>
      <x:c r="G4" s="25" t="str">
        <x:v>parent_process_selector</x:v>
      </x:c>
      <x:c r="H4" s="25" t="str">
        <x:v>flow_tag</x:v>
      </x:c>
      <x:c r="I4" s="12" t="str">
        <x:v>process_name</x:v>
      </x:c>
      <x:c r="J4" s="12" t="str">
        <x:v>goal</x:v>
      </x:c>
      <x:c r="K4" s="25" t="str">
        <x:v>work_object_id</x:v>
      </x:c>
      <x:c r="L4" s="25" t="str">
        <x:v>work_object_selector</x:v>
      </x:c>
      <x:c r="M4" s="12" t="str">
        <x:v>trigger</x:v>
      </x:c>
      <x:c r="N4" s="12" t="str">
        <x:v>process_input</x:v>
      </x:c>
      <x:c r="O4" s="12" t="str">
        <x:v>process_output</x:v>
      </x:c>
      <x:c r="P4" s="25" t="str">
        <x:v>entry_state_id</x:v>
      </x:c>
      <x:c r="Q4" s="25" t="str">
        <x:v>entry_state_selector</x:v>
      </x:c>
      <x:c r="R4" s="25" t="str">
        <x:v>exit_state_id</x:v>
      </x:c>
      <x:c r="S4" s="25" t="str">
        <x:v>exit_state_selector</x:v>
      </x:c>
      <x:c r="T4" s="12" t="str">
        <x:v>owner_position_id</x:v>
      </x:c>
      <x:c r="U4" s="25" t="str">
        <x:v>owner_position_selector</x:v>
      </x:c>
      <x:c r="V4" s="12" t="str">
        <x:v>execution_status</x:v>
      </x:c>
      <x:c r="W4" s="12" t="str">
        <x:v>knowledge_status</x:v>
      </x:c>
      <x:c r="X4" s="12" t="str">
        <x:v>source_id</x:v>
      </x:c>
      <x:c r="Y4" s="25" t="str">
        <x:v>source_selector</x:v>
      </x:c>
      <x:c r="Z4" s="25" t="str">
        <x:v>source_locator</x:v>
      </x:c>
      <x:c r="AA4" s="25" t="str">
        <x:v>last_reviewed</x:v>
      </x:c>
      <x:c r="AB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6.110000610351562" hidden="0" customWidth="1"/>
    <x:col min="28" max="28" width="26.670000076293945" hidden="0" customWidth="1"/>
    <x:col min="29" max="29" width="19.440000534057617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</x:cols>
  <x:sheetData>
    <x:row r="1" ht="25.5" customHeight="1">
      <x:c r="A1" s="16" t="str">
        <x:v>Действия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.5" customHeight="1">
      <x:c r="A2" s="18" t="str">
        <x:v>Лист канонической модели v0.3: Действия.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</x:row>
    <x:row r="4" ht="16.5" customHeight="1">
      <x:c r="A4" s="12" t="str">
        <x:v>action_id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action_name</x:v>
      </x:c>
      <x:c r="G4" s="12" t="str">
        <x:v>action_type</x:v>
      </x:c>
      <x:c r="H4" s="12" t="str">
        <x:v>purpose</x:v>
      </x:c>
      <x:c r="I4" s="12" t="str">
        <x:v>action_input</x:v>
      </x:c>
      <x:c r="J4" s="12" t="str">
        <x:v>action_output</x:v>
      </x:c>
      <x:c r="K4" s="12" t="str">
        <x:v>responsible_position_id</x:v>
      </x:c>
      <x:c r="L4" s="25" t="str">
        <x:v>responsible_position_selector</x:v>
      </x:c>
      <x:c r="M4" s="12" t="str">
        <x:v>performer_mode</x:v>
      </x:c>
      <x:c r="N4" s="25" t="str">
        <x:v>execution_element_id</x:v>
      </x:c>
      <x:c r="O4" s="25" t="str">
        <x:v>execution_element_selector</x:v>
      </x:c>
      <x:c r="P4" s="25" t="str">
        <x:v>expected_duration</x:v>
      </x:c>
      <x:c r="Q4" s="12" t="str">
        <x:v>execution_status</x:v>
      </x:c>
      <x:c r="R4" s="25" t="str">
        <x:v>input_object_id</x:v>
      </x:c>
      <x:c r="S4" s="25" t="str">
        <x:v>input_object_selector</x:v>
      </x:c>
      <x:c r="T4" s="25" t="str">
        <x:v>output_object_id</x:v>
      </x:c>
      <x:c r="U4" s="25" t="str">
        <x:v>output_object_selector</x:v>
      </x:c>
      <x:c r="V4" s="25" t="str">
        <x:v>linked_process_id</x:v>
      </x:c>
      <x:c r="W4" s="25" t="str">
        <x:v>linked_process_selector</x:v>
      </x:c>
      <x:c r="X4" s="25" t="str">
        <x:v>diagram_label</x:v>
      </x:c>
      <x:c r="Y4" s="12" t="str">
        <x:v>include_in_diagram</x:v>
      </x:c>
      <x:c r="Z4" s="25" t="str">
        <x:v>diagram_order</x:v>
      </x:c>
      <x:c r="AA4" s="25" t="str">
        <x:v>lane_position_id</x:v>
      </x:c>
      <x:c r="AB4" s="25" t="str">
        <x:v>lane_position_selector</x:v>
      </x:c>
      <x:c r="AC4" s="12" t="str">
        <x:v>knowledge_status</x:v>
      </x:c>
      <x:c r="AD4" s="12" t="str">
        <x:v>source_id</x:v>
      </x:c>
      <x:c r="AE4" s="25" t="str">
        <x:v>source_selector</x:v>
      </x:c>
      <x:c r="AF4" s="25" t="str">
        <x:v>source_locator</x:v>
      </x:c>
      <x:c r="AG4" s="25" t="str">
        <x:v>last_reviewed</x:v>
      </x:c>
      <x:c r="A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  <x:c r="AE5" s="14"/>
      <x:c r="AF5" s="14"/>
      <x:c r="AG5" s="14"/>
      <x:c r="A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Связи действий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Связи действий.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edge_id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25" t="str">
        <x:v>from_action_id</x:v>
      </x:c>
      <x:c r="G4" s="25" t="str">
        <x:v>from_action_selector</x:v>
      </x:c>
      <x:c r="H4" s="12" t="str">
        <x:v>link_type</x:v>
      </x:c>
      <x:c r="I4" s="25" t="str">
        <x:v>to_action_id</x:v>
      </x:c>
      <x:c r="J4" s="25" t="str">
        <x:v>to_action_selector</x:v>
      </x:c>
      <x:c r="K4" s="25" t="str">
        <x:v>condition_text</x:v>
      </x:c>
      <x:c r="L4" s="25" t="str">
        <x:v>decision_position_id</x:v>
      </x:c>
      <x:c r="M4" s="25" t="str">
        <x:v>decision_position_selector</x:v>
      </x:c>
      <x:c r="N4" s="25" t="str">
        <x:v>expected_evidence</x:v>
      </x:c>
      <x:c r="O4" s="25" t="str">
        <x:v>is_entry</x:v>
      </x:c>
      <x:c r="P4" s="25" t="str">
        <x:v>is_terminal</x:v>
      </x:c>
      <x:c r="Q4" s="25" t="str">
        <x:v>priority</x:v>
      </x:c>
      <x:c r="R4" s="25" t="str">
        <x:v>branch_label</x:v>
      </x:c>
      <x:c r="S4" s="25" t="str">
        <x:v>is_default</x:v>
      </x:c>
      <x:c r="T4" s="25" t="str">
        <x:v>include_in_diagram</x:v>
      </x:c>
      <x:c r="U4" s="25" t="str">
        <x:v>diagram_order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</x:cols>
  <x:sheetData>
    <x:row r="1" ht="25.5" customHeight="1">
      <x:c r="A1" s="16" t="str">
        <x:v>Объекты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22.5" customHeight="1">
      <x:c r="A2" s="18" t="str">
        <x:v>Лист канонической модели v0.3: Объекты.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6.5" customHeight="1">
      <x:c r="A4" s="12" t="str">
        <x:v>object_id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object_name</x:v>
      </x:c>
      <x:c r="G4" s="12" t="str">
        <x:v>object_type</x:v>
      </x:c>
      <x:c r="H4" s="12" t="str">
        <x:v>definition</x:v>
      </x:c>
      <x:c r="I4" s="12" t="str">
        <x:v>identity_rule</x:v>
      </x:c>
      <x:c r="J4" s="25" t="str">
        <x:v>creation_event</x:v>
      </x:c>
      <x:c r="K4" s="25" t="str">
        <x:v>closing_event</x:v>
      </x:c>
      <x:c r="L4" s="25" t="str">
        <x:v>canonical_source_element_id</x:v>
      </x:c>
      <x:c r="M4" s="25" t="str">
        <x:v>canonical_source_element_selector</x:v>
      </x:c>
      <x:c r="N4" s="25" t="str">
        <x:v>data_owner_position_id</x:v>
      </x:c>
      <x:c r="O4" s="25" t="str">
        <x:v>data_owner_position_selector</x:v>
      </x:c>
      <x:c r="P4" s="25" t="str">
        <x:v>format_or_schema</x:v>
      </x:c>
      <x:c r="Q4" s="12" t="str">
        <x:v>knowledge_status</x:v>
      </x:c>
      <x:c r="R4" s="12" t="str">
        <x:v>source_id</x:v>
      </x:c>
      <x:c r="S4" s="25" t="str">
        <x:v>source_selector</x:v>
      </x:c>
      <x:c r="T4" s="25" t="str">
        <x:v>source_locator</x:v>
      </x:c>
      <x:c r="U4" s="25" t="str">
        <x:v>last_reviewed</x:v>
      </x:c>
      <x:c r="V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</x:cols>
  <x:sheetData>
    <x:row r="1" ht="25.5" customHeight="1">
      <x:c r="A1" s="16" t="str">
        <x:v>Состояния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</x:row>
    <x:row r="2" ht="22.5" customHeight="1">
      <x:c r="A2" s="18" t="str">
        <x:v>Лист канонической модели v0.3: Состояния.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</x:row>
    <x:row r="4" ht="16.5" customHeight="1">
      <x:c r="A4" s="12" t="str">
        <x:v>state_id</x:v>
      </x:c>
      <x:c r="B4" s="12" t="str">
        <x:v>version_id</x:v>
      </x:c>
      <x:c r="C4" s="12" t="str">
        <x:v>version_operation</x:v>
      </x:c>
      <x:c r="D4" s="12" t="str">
        <x:v>object_id</x:v>
      </x:c>
      <x:c r="E4" s="25" t="str">
        <x:v>object_selector</x:v>
      </x:c>
      <x:c r="F4" s="12" t="str">
        <x:v>state_name</x:v>
      </x:c>
      <x:c r="G4" s="12" t="str">
        <x:v>definition</x:v>
      </x:c>
      <x:c r="H4" s="12" t="str">
        <x:v>terminal</x:v>
      </x:c>
      <x:c r="I4" s="25" t="str">
        <x:v>allowed_actions_summary</x:v>
      </x:c>
      <x:c r="J4" s="12" t="str">
        <x:v>knowledge_status</x:v>
      </x:c>
      <x:c r="K4" s="12" t="str">
        <x:v>source_id</x:v>
      </x:c>
      <x:c r="L4" s="25" t="str">
        <x:v>source_selector</x:v>
      </x:c>
      <x:c r="M4" s="25" t="str">
        <x:v>source_locator</x:v>
      </x:c>
      <x:c r="N4" s="25" t="str">
        <x:v>last_reviewed</x:v>
      </x:c>
      <x:c r="O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6.110000610351562" hidden="0" customWidth="1"/>
    <x:col min="11" max="11" width="26.670000076293945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Переходы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Переходы.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transition_id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object_id</x:v>
      </x:c>
      <x:c r="G4" s="25" t="str">
        <x:v>object_selector</x:v>
      </x:c>
      <x:c r="H4" s="12" t="str">
        <x:v>from_state_id</x:v>
      </x:c>
      <x:c r="I4" s="25" t="str">
        <x:v>from_state_selector</x:v>
      </x:c>
      <x:c r="J4" s="12" t="str">
        <x:v>to_state_id</x:v>
      </x:c>
      <x:c r="K4" s="25" t="str">
        <x:v>to_state_selector</x:v>
      </x:c>
      <x:c r="L4" s="25" t="str">
        <x:v>action_id</x:v>
      </x:c>
      <x:c r="M4" s="25" t="str">
        <x:v>action_selector</x:v>
      </x:c>
      <x:c r="N4" s="12" t="str">
        <x:v>trigger_type</x:v>
      </x:c>
      <x:c r="O4" s="25" t="str">
        <x:v>condition_text</x:v>
      </x:c>
      <x:c r="P4" s="25" t="str">
        <x:v>decision_position_id</x:v>
      </x:c>
      <x:c r="Q4" s="25" t="str">
        <x:v>decision_position_selector</x:v>
      </x:c>
      <x:c r="R4" s="12" t="str">
        <x:v>evidence</x:v>
      </x:c>
      <x:c r="S4" s="25" t="str">
        <x:v>exception_transition_id</x:v>
      </x:c>
      <x:c r="T4" s="25" t="str">
        <x:v>exception_transition_selector</x:v>
      </x:c>
      <x:c r="U4" s="25" t="str">
        <x:v>priority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Элементы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Элементы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element_id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element_type</x:v>
      </x:c>
      <x:c r="G4" s="12" t="str">
        <x:v>element_name</x:v>
      </x:c>
      <x:c r="H4" s="12" t="str">
        <x:v>definition</x:v>
      </x:c>
      <x:c r="I4" s="25" t="str">
        <x:v>owner_position_id</x:v>
      </x:c>
      <x:c r="J4" s="25" t="str">
        <x:v>owner_position_selector</x:v>
      </x:c>
      <x:c r="K4" s="25" t="str">
        <x:v>formula_or_rule</x:v>
      </x:c>
      <x:c r="L4" s="25" t="str">
        <x:v>unit_or_format</x:v>
      </x:c>
      <x:c r="M4" s="25" t="str">
        <x:v>target_or_threshold</x:v>
      </x:c>
      <x:c r="N4" s="25" t="str">
        <x:v>canonical_source_element_id</x:v>
      </x:c>
      <x:c r="O4" s="25" t="str">
        <x:v>canonical_source_element_selector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</x:cols>
  <x:sheetData>
    <x:row r="1" ht="25.5" customHeight="1">
      <x:c r="A1" s="16" t="str">
        <x:v>Контракты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</x:row>
    <x:row r="2" ht="22.5" customHeight="1">
      <x:c r="A2" s="18" t="str">
        <x:v>Лист канонической модели v0.3: Контракты.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</x:row>
    <x:row r="4" ht="16.5" customHeight="1">
      <x:c r="A4" s="12" t="str">
        <x:v>contract_id</x:v>
      </x:c>
      <x:c r="B4" s="12" t="str">
        <x:v>version_id</x:v>
      </x:c>
      <x:c r="C4" s="12" t="str">
        <x:v>version_operation</x:v>
      </x:c>
      <x:c r="D4" s="12" t="str">
        <x:v>counterparty_id</x:v>
      </x:c>
      <x:c r="E4" s="25" t="str">
        <x:v>counterparty_selector</x:v>
      </x:c>
      <x:c r="F4" s="12" t="str">
        <x:v>contract_name_or_number</x:v>
      </x:c>
      <x:c r="G4" s="25" t="str">
        <x:v>valid_from</x:v>
      </x:c>
      <x:c r="H4" s="25" t="str">
        <x:v>valid_to</x:v>
      </x:c>
      <x:c r="I4" s="12" t="str">
        <x:v>contract_status</x:v>
      </x:c>
      <x:c r="J4" s="25" t="str">
        <x:v>document_url</x:v>
      </x:c>
      <x:c r="K4" s="25" t="str">
        <x:v>change_authority_position_id</x:v>
      </x:c>
      <x:c r="L4" s="25" t="str">
        <x:v>change_authority_position_selector</x:v>
      </x:c>
      <x:c r="M4" s="12" t="str">
        <x:v>knowledge_status</x:v>
      </x:c>
      <x:c r="N4" s="12" t="str">
        <x:v>source_id</x:v>
      </x:c>
      <x:c r="O4" s="25" t="str">
        <x:v>source_selector</x:v>
      </x:c>
      <x:c r="P4" s="25" t="str">
        <x:v>source_locator</x:v>
      </x:c>
      <x:c r="Q4" s="25" t="str">
        <x:v>last_reviewed</x:v>
      </x:c>
      <x:c r="R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9.440000534057617" hidden="0" customWidth="1"/>
    <x:col min="20" max="20" width="16.110000610351562" hidden="0" customWidth="1"/>
    <x:col min="21" max="21" width="26.670000076293945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Позиции контрактов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Позиции контрактов.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contract_item_id</x:v>
      </x:c>
      <x:c r="B4" s="12" t="str">
        <x:v>version_id</x:v>
      </x:c>
      <x:c r="C4" s="12" t="str">
        <x:v>version_operation</x:v>
      </x:c>
      <x:c r="D4" s="12" t="str">
        <x:v>contract_id</x:v>
      </x:c>
      <x:c r="E4" s="25" t="str">
        <x:v>contract_selector</x:v>
      </x:c>
      <x:c r="F4" s="12" t="str">
        <x:v>direction</x:v>
      </x:c>
      <x:c r="G4" s="25" t="str">
        <x:v>product_id</x:v>
      </x:c>
      <x:c r="H4" s="25" t="str">
        <x:v>product_selector</x:v>
      </x:c>
      <x:c r="I4" s="25" t="str">
        <x:v>material_id</x:v>
      </x:c>
      <x:c r="J4" s="25" t="str">
        <x:v>material_selector</x:v>
      </x:c>
      <x:c r="K4" s="12" t="str">
        <x:v>internal_system_id</x:v>
      </x:c>
      <x:c r="L4" s="25" t="str">
        <x:v>internal_system_selector</x:v>
      </x:c>
      <x:c r="M4" s="12" t="str">
        <x:v>pricing_method</x:v>
      </x:c>
      <x:c r="N4" s="25" t="str">
        <x:v>price_value</x:v>
      </x:c>
      <x:c r="O4" s="25" t="str">
        <x:v>price_formula</x:v>
      </x:c>
      <x:c r="P4" s="12" t="str">
        <x:v>currency</x:v>
      </x:c>
      <x:c r="Q4" s="12" t="str">
        <x:v>pricing_unit</x:v>
      </x:c>
      <x:c r="R4" s="25" t="str">
        <x:v>billing_trigger</x:v>
      </x:c>
      <x:c r="S4" s="25" t="str">
        <x:v>payment_terms</x:v>
      </x:c>
      <x:c r="T4" s="25" t="str">
        <x:v>interface_id</x:v>
      </x:c>
      <x:c r="U4" s="25" t="str">
        <x:v>interface_selector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6.110000610351562" hidden="0" customWidth="1"/>
    <x:col min="16" max="16" width="26.670000076293945" hidden="0" customWidth="1"/>
    <x:col min="17" max="17" width="19.440000534057617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6.110000610351562" hidden="0" customWidth="1"/>
    <x:col min="27" max="27" width="26.670000076293945" hidden="0" customWidth="1"/>
    <x:col min="28" max="28" width="19.440000534057617" hidden="0" customWidth="1"/>
    <x:col min="29" max="29" width="19.440000534057617" hidden="0" customWidth="1"/>
    <x:col min="30" max="30" width="19.440000534057617" hidden="0" customWidth="1"/>
  </x:cols>
  <x:sheetData>
    <x:row r="1" ht="25.5" customHeight="1">
      <x:c r="A1" s="16" t="str">
        <x:v>Интерфейсы передачи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</x:row>
    <x:row r="2" ht="22.5" customHeight="1">
      <x:c r="A2" s="18" t="str">
        <x:v>Лист канонической модели v0.3: Интерфейсы передачи.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</x:row>
    <x:row r="4" ht="16.5" customHeight="1">
      <x:c r="A4" s="12" t="str">
        <x:v>interface_id</x:v>
      </x:c>
      <x:c r="B4" s="12" t="str">
        <x:v>version_id</x:v>
      </x:c>
      <x:c r="C4" s="12" t="str">
        <x:v>version_operation</x:v>
      </x:c>
      <x:c r="D4" s="12" t="str">
        <x:v>interface_name</x:v>
      </x:c>
      <x:c r="E4" s="12" t="str">
        <x:v>counterparty_id</x:v>
      </x:c>
      <x:c r="F4" s="25" t="str">
        <x:v>counterparty_selector</x:v>
      </x:c>
      <x:c r="G4" s="12" t="str">
        <x:v>internal_system_id</x:v>
      </x:c>
      <x:c r="H4" s="25" t="str">
        <x:v>internal_system_selector</x:v>
      </x:c>
      <x:c r="I4" s="25" t="str">
        <x:v>product_id</x:v>
      </x:c>
      <x:c r="J4" s="25" t="str">
        <x:v>product_selector</x:v>
      </x:c>
      <x:c r="K4" s="25" t="str">
        <x:v>material_id</x:v>
      </x:c>
      <x:c r="L4" s="25" t="str">
        <x:v>material_selector</x:v>
      </x:c>
      <x:c r="M4" s="12" t="str">
        <x:v>transfer_trigger</x:v>
      </x:c>
      <x:c r="N4" s="12" t="str">
        <x:v>channel</x:v>
      </x:c>
      <x:c r="O4" s="25" t="str">
        <x:v>information_system_id</x:v>
      </x:c>
      <x:c r="P4" s="25" t="str">
        <x:v>information_system_selector</x:v>
      </x:c>
      <x:c r="Q4" s="12" t="str">
        <x:v>format_description</x:v>
      </x:c>
      <x:c r="R4" s="25" t="str">
        <x:v>package_description</x:v>
      </x:c>
      <x:c r="S4" s="25" t="str">
        <x:v>acceptance_action_id</x:v>
      </x:c>
      <x:c r="T4" s="25" t="str">
        <x:v>acceptance_action_selector</x:v>
      </x:c>
      <x:c r="U4" s="12" t="str">
        <x:v>acceptance_evidence</x:v>
      </x:c>
      <x:c r="V4" s="12" t="str">
        <x:v>rejection_path</x:v>
      </x:c>
      <x:c r="W4" s="25" t="str">
        <x:v>return_path</x:v>
      </x:c>
      <x:c r="X4" s="25" t="str">
        <x:v>fallback_path</x:v>
      </x:c>
      <x:c r="Y4" s="12" t="str">
        <x:v>knowledge_status</x:v>
      </x:c>
      <x:c r="Z4" s="12" t="str">
        <x:v>source_id</x:v>
      </x:c>
      <x:c r="AA4" s="25" t="str">
        <x:v>source_selector</x:v>
      </x:c>
      <x:c r="AB4" s="25" t="str">
        <x:v>source_locator</x:v>
      </x:c>
      <x:c r="AC4" s="25" t="str">
        <x:v>last_reviewed</x:v>
      </x:c>
      <x:c r="AD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Связи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Связи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link_id</x:v>
      </x:c>
      <x:c r="B4" s="12" t="str">
        <x:v>version_id</x:v>
      </x:c>
      <x:c r="C4" s="12" t="str">
        <x:v>version_operation</x:v>
      </x:c>
      <x:c r="D4" s="12" t="str">
        <x:v>from_entity_id</x:v>
      </x:c>
      <x:c r="E4" s="25" t="str">
        <x:v>from_entity_selector</x:v>
      </x:c>
      <x:c r="F4" s="12" t="str">
        <x:v>relation_type</x:v>
      </x:c>
      <x:c r="G4" s="12" t="str">
        <x:v>to_entity_id</x:v>
      </x:c>
      <x:c r="H4" s="25" t="str">
        <x:v>to_entity_selector</x:v>
      </x:c>
      <x:c r="I4" s="25" t="str">
        <x:v>relation_role</x:v>
      </x:c>
      <x:c r="J4" s="12" t="str">
        <x:v>required</x:v>
      </x:c>
      <x:c r="K4" s="25" t="str">
        <x:v>usage_description</x:v>
      </x:c>
      <x:c r="L4" s="25" t="str">
        <x:v>scope_system_id</x:v>
      </x:c>
      <x:c r="M4" s="25" t="str">
        <x:v>scope_system_selector</x:v>
      </x:c>
      <x:c r="N4" s="25" t="str">
        <x:v>scope_process_id</x:v>
      </x:c>
      <x:c r="O4" s="25" t="str">
        <x:v>scope_process_selector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19.440000534057617" hidden="0" customWidth="1"/>
    <x:col min="5" max="5" width="16.110000610351562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</x:cols>
  <x:sheetData>
    <x:row r="1" ht="25.5" customHeight="1">
      <x:c r="A1" s="16" t="str">
        <x:v>Решения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</x:row>
    <x:row r="2" ht="22.5" customHeight="1">
      <x:c r="A2" s="18" t="str">
        <x:v>Лист канонической модели v0.3: Решения.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</x:row>
    <x:row r="4" ht="16.5" customHeight="1">
      <x:c r="A4" s="12" t="str">
        <x:v>decision_id</x:v>
      </x:c>
      <x:c r="B4" s="12" t="str">
        <x:v>transaction_id</x:v>
      </x:c>
      <x:c r="C4" s="12" t="str">
        <x:v>package_id</x:v>
      </x:c>
      <x:c r="D4" s="12" t="str">
        <x:v>package_hash</x:v>
      </x:c>
      <x:c r="E4" s="12" t="str">
        <x:v>confirmation_id</x:v>
      </x:c>
      <x:c r="F4" s="12" t="str">
        <x:v>decided_at</x:v>
      </x:c>
      <x:c r="G4" s="12" t="str">
        <x:v>confirmed_by_performer_id</x:v>
      </x:c>
      <x:c r="H4" s="25" t="str">
        <x:v>confirmed_by_performer_selector</x:v>
      </x:c>
      <x:c r="I4" s="12" t="str">
        <x:v>confirmation_assignment_id</x:v>
      </x:c>
      <x:c r="J4" s="25" t="str">
        <x:v>confirmation_assignment_selector</x:v>
      </x:c>
      <x:c r="K4" s="12" t="str">
        <x:v>confirmer_name_snapshot</x:v>
      </x:c>
      <x:c r="L4" s="12" t="str">
        <x:v>confirmer_position_snapshot</x:v>
      </x:c>
      <x:c r="M4" s="12" t="str">
        <x:v>decision_text</x:v>
      </x:c>
      <x:c r="N4" s="25" t="str">
        <x:v>rationale</x:v>
      </x:c>
      <x:c r="O4" s="12" t="str">
        <x:v>confirmation_evidence</x:v>
      </x:c>
      <x:c r="P4" s="12" t="str">
        <x:v>working_version_id</x:v>
      </x:c>
      <x:c r="Q4" s="25" t="str">
        <x:v>working_version_selector</x:v>
      </x:c>
      <x:c r="R4" s="25" t="str">
        <x:v>corrects_decision_id</x:v>
      </x:c>
      <x:c r="S4" s="25" t="str">
        <x:v>corrects_decision_selector</x:v>
      </x:c>
      <x:c r="T4" s="12" t="str">
        <x:v>recorded_by_performer_id</x:v>
      </x:c>
      <x:c r="U4" s="25" t="str">
        <x:v>recorded_by_performer_selector</x:v>
      </x:c>
      <x:c r="V4" s="12" t="str">
        <x:v>source_id</x:v>
      </x:c>
      <x:c r="W4" s="25" t="str">
        <x:v>source_selector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26.670000076293945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6.110000610351562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</x:cols>
  <x:sheetData>
    <x:row r="1" ht="25.5" customHeight="1">
      <x:c r="A1" s="16" t="str">
        <x:v>Изменения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Изменения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change_id</x:v>
      </x:c>
      <x:c r="B4" s="12" t="str">
        <x:v>transaction_id</x:v>
      </x:c>
      <x:c r="C4" s="12" t="str">
        <x:v>decision_id</x:v>
      </x:c>
      <x:c r="D4" s="25" t="str">
        <x:v>decision_selector</x:v>
      </x:c>
      <x:c r="E4" s="12" t="str">
        <x:v>applied_at</x:v>
      </x:c>
      <x:c r="F4" s="12" t="str">
        <x:v>operation</x:v>
      </x:c>
      <x:c r="G4" s="12" t="str">
        <x:v>entity_type</x:v>
      </x:c>
      <x:c r="H4" s="12" t="str">
        <x:v>stable_id</x:v>
      </x:c>
      <x:c r="I4" s="12" t="str">
        <x:v>field_name</x:v>
      </x:c>
      <x:c r="J4" s="25" t="str">
        <x:v>old_value</x:v>
      </x:c>
      <x:c r="K4" s="25" t="str">
        <x:v>new_value</x:v>
      </x:c>
      <x:c r="L4" s="12" t="str">
        <x:v>version_id</x:v>
      </x:c>
      <x:c r="M4" s="25" t="str">
        <x:v>version_selector</x:v>
      </x:c>
      <x:c r="N4" s="12" t="str">
        <x:v>recorded_by_performer_id</x:v>
      </x:c>
      <x:c r="O4" s="25" t="str">
        <x:v>recorded_by_performer_selector</x:v>
      </x:c>
      <x:c r="P4" s="25" t="str">
        <x:v>validation_result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  <x:col min="29" max="29" width="19.440000534057617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9.440000534057617" hidden="0" customWidth="1"/>
    <x:col min="35" max="35" width="19.440000534057617" hidden="0" customWidth="1"/>
    <x:col min="36" max="36" width="16.110000610351562" hidden="0" customWidth="1"/>
    <x:col min="37" max="37" width="26.670000076293945" hidden="0" customWidth="1"/>
    <x:col min="38" max="38" width="16.110000610351562" hidden="0" customWidth="1"/>
    <x:col min="39" max="39" width="26.670000076293945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  <x:col min="43" max="43" width="19.440000534057617" hidden="0" customWidth="1"/>
    <x:col min="44" max="44" width="19.440000534057617" hidden="0" customWidth="1"/>
  </x:cols>
  <x:sheetData>
    <x:row r="1" ht="25.5" customHeight="1">
      <x:c r="A1" s="16" t="str">
        <x:v>Отклонения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</x:row>
    <x:row r="2" ht="22.5" customHeight="1">
      <x:c r="A2" s="18" t="str">
        <x:v>Фактические различия между действующей нормой и работой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</x:row>
    <x:row r="3" ht="28.5" customHeight="1">
      <x:c r="A3" s="21" t="str">
        <x:v>Для подтверждения нужны действующая норма и наблюдаемый факт. Причина не становится гипотезой развития.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</x:row>
    <x:row r="4" ht="16.5" customHeight="1">
      <x:c r="A4" s="12" t="str">
        <x:v>deviation_id</x:v>
      </x:c>
      <x:c r="B4" s="12" t="str">
        <x:v>deviation_title</x:v>
      </x:c>
      <x:c r="C4" s="12" t="str">
        <x:v>deviation_status</x:v>
      </x:c>
      <x:c r="D4" s="25" t="str">
        <x:v>deviation_type</x:v>
      </x:c>
      <x:c r="E4" s="25" t="str">
        <x:v>scope_type</x:v>
      </x:c>
      <x:c r="F4" s="25" t="str">
        <x:v>scope_element_id</x:v>
      </x:c>
      <x:c r="G4" s="25" t="str">
        <x:v>scope_element_selector</x:v>
      </x:c>
      <x:c r="H4" s="25" t="str">
        <x:v>additional_impacts</x:v>
      </x:c>
      <x:c r="I4" s="25" t="str">
        <x:v>applicable_version_id</x:v>
      </x:c>
      <x:c r="J4" s="25" t="str">
        <x:v>applicable_version_selector</x:v>
      </x:c>
      <x:c r="K4" s="25" t="str">
        <x:v>norm_element_id</x:v>
      </x:c>
      <x:c r="L4" s="25" t="str">
        <x:v>norm_element_selector</x:v>
      </x:c>
      <x:c r="M4" s="25" t="str">
        <x:v>norm_source_id</x:v>
      </x:c>
      <x:c r="N4" s="25" t="str">
        <x:v>norm_source_selector</x:v>
      </x:c>
      <x:c r="O4" s="25" t="str">
        <x:v>norm_source_locator</x:v>
      </x:c>
      <x:c r="P4" s="25" t="str">
        <x:v>expected_behavior</x:v>
      </x:c>
      <x:c r="Q4" s="12" t="str">
        <x:v>observed_fact</x:v>
      </x:c>
      <x:c r="R4" s="12" t="str">
        <x:v>evidence_channel</x:v>
      </x:c>
      <x:c r="S4" s="12" t="str">
        <x:v>source_id</x:v>
      </x:c>
      <x:c r="T4" s="25" t="str">
        <x:v>source_selector</x:v>
      </x:c>
      <x:c r="U4" s="12" t="str">
        <x:v>source_locator</x:v>
      </x:c>
      <x:c r="V4" s="25" t="str">
        <x:v>additional_evidence</x:v>
      </x:c>
      <x:c r="W4" s="25" t="str">
        <x:v>observed_from</x:v>
      </x:c>
      <x:c r="X4" s="25" t="str">
        <x:v>observed_to</x:v>
      </x:c>
      <x:c r="Y4" s="25" t="str">
        <x:v>occurrence_count</x:v>
      </x:c>
      <x:c r="Z4" s="25" t="str">
        <x:v>impact</x:v>
      </x:c>
      <x:c r="AA4" s="25" t="str">
        <x:v>correction</x:v>
      </x:c>
      <x:c r="AB4" s="25" t="str">
        <x:v>cause</x:v>
      </x:c>
      <x:c r="AC4" s="25" t="str">
        <x:v>cause_status</x:v>
      </x:c>
      <x:c r="AD4" s="25" t="str">
        <x:v>cause_evidence</x:v>
      </x:c>
      <x:c r="AE4" s="25" t="str">
        <x:v>system_change</x:v>
      </x:c>
      <x:c r="AF4" s="25" t="str">
        <x:v>responsible_position_id</x:v>
      </x:c>
      <x:c r="AG4" s="25" t="str">
        <x:v>responsible_position_selector</x:v>
      </x:c>
      <x:c r="AH4" s="25" t="str">
        <x:v>verification_status</x:v>
      </x:c>
      <x:c r="AI4" s="25" t="str">
        <x:v>verification_evidence</x:v>
      </x:c>
      <x:c r="AJ4" s="25" t="str">
        <x:v>confirmation_decision_id</x:v>
      </x:c>
      <x:c r="AK4" s="25" t="str">
        <x:v>confirmation_decision_selector</x:v>
      </x:c>
      <x:c r="AL4" s="25" t="str">
        <x:v>closure_decision_id</x:v>
      </x:c>
      <x:c r="AM4" s="25" t="str">
        <x:v>closure_decision_selector</x:v>
      </x:c>
      <x:c r="AN4" s="12" t="str">
        <x:v>next_step</x:v>
      </x:c>
      <x:c r="AO4" s="25" t="str">
        <x:v>due_date</x:v>
      </x:c>
      <x:c r="AP4" s="25" t="str">
        <x:v>opened_at</x:v>
      </x:c>
      <x:c r="AQ4" s="25" t="str">
        <x:v>closed_at</x:v>
      </x:c>
      <x:c r="AR4" s="25" t="str">
        <x:v>notes</x:v>
      </x:c>
    </x:row>
    <x:row r="5" ht="42" customHeight="1">
      <x:c r="A5" s="28" t="str">
        <x:v>dev-demo-sla</x:v>
      </x:c>
      <x:c r="B5" s="28" t="str">
        <x:v>Срок обработки превышает SLA</x:v>
      </x:c>
      <x:c r="C5" s="28" t="str">
        <x:v>подтверждено</x:v>
      </x:c>
      <x:c r="D5" s="28" t="str">
        <x:v>операционное</x:v>
      </x:c>
      <x:c r="E5" s="28" t="str">
        <x:v>процесс</x:v>
      </x:c>
      <x:c r="F5" s="28" t="str">
        <x:v>prc-demo-lead</x:v>
      </x:c>
      <x:c r="G5" s="28" t="str">
        <x:v>Обработка лида</x:v>
      </x:c>
      <x:c r="H5" s="28"/>
      <x:c r="I5" s="28" t="str">
        <x:v>ver-demo-v0.3</x:v>
      </x:c>
      <x:c r="J5" s="28" t="str">
        <x:v>Текущая модель v0.3</x:v>
      </x:c>
      <x:c r="K5" s="28"/>
      <x:c r="L5" s="28"/>
      <x:c r="M5" s="28" t="str">
        <x:v>src-demo-regulation</x:v>
      </x:c>
      <x:c r="N5" s="28" t="str">
        <x:v>Регламент обработки лидов</x:v>
      </x:c>
      <x:c r="O5" s="28" t="str">
        <x:v>demo-regulation#sla</x:v>
      </x:c>
      <x:c r="P5" s="28" t="str">
        <x:v>Лид обработан не позднее 3 дней</x:v>
      </x:c>
      <x:c r="Q5" s="28" t="str">
        <x:v>Один лид обработан за 5 дней</x:v>
      </x:c>
      <x:c r="R5" s="28" t="str">
        <x:v>интерфейс исполнения</x:v>
      </x:c>
      <x:c r="S5" s="28" t="str">
        <x:v>src-demo-crm</x:v>
      </x:c>
      <x:c r="T5" s="28" t="str">
        <x:v>CRM — журнал лидов</x:v>
      </x:c>
      <x:c r="U5" s="28" t="str">
        <x:v>lead/demo-42/history</x:v>
      </x:c>
      <x:c r="V5" s="28"/>
      <x:c r="W5" s="29"/>
      <x:c r="X5" s="29"/>
      <x:c r="Y5" s="28"/>
      <x:c r="Z5" s="28"/>
      <x:c r="AA5" s="28"/>
      <x:c r="AB5" s="28"/>
      <x:c r="AC5" s="28"/>
      <x:c r="AD5" s="28"/>
      <x:c r="AE5" s="28"/>
      <x:c r="AF5" s="28" t="str">
        <x:v>pos-demo-owner</x:v>
      </x:c>
      <x:c r="AG5" s="28" t="str">
        <x:v>Владелец ПС</x:v>
      </x:c>
      <x:c r="AH5" s="28"/>
      <x:c r="AI5" s="28"/>
      <x:c r="AJ5" s="28" t="str">
        <x:v>dec-demo-deviation</x:v>
      </x:c>
      <x:c r="AK5" s="28" t="str">
        <x:v>Подтвердить отклонение SLA</x:v>
      </x:c>
      <x:c r="AL5" s="28"/>
      <x:c r="AM5" s="28"/>
      <x:c r="AN5" s="28" t="str">
        <x:v>Проверить причину задержки</x:v>
      </x:c>
      <x:c r="AO5" s="30" t="n">
        <x:v>46254</x:v>
      </x:c>
      <x:c r="AP5" s="29"/>
      <x:c r="AQ5" s="29"/>
      <x:c r="AR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</x:row>
  </x:sheetData>
  <x:mergeCells>
    <x:mergeCell ref="A1:L1"/>
    <x:mergeCell ref="A2:L2"/>
    <x:mergeCell ref="A3:L3"/>
  </x:mergeCells>
  <x:dataValidations count="6">
    <x:dataValidation type="list" sqref="C5:C12">
      <x:formula1>enum_deviation_status</x:formula1>
    </x:dataValidation>
    <x:dataValidation type="list" sqref="D5:D12">
      <x:formula1>enum_deviation_type</x:formula1>
    </x:dataValidation>
    <x:dataValidation type="list" sqref="E5:E12">
      <x:formula1>enum_development_scope_type</x:formula1>
    </x:dataValidation>
    <x:dataValidation type="list" sqref="R5:R12">
      <x:formula1>enum_evidence_channel</x:formula1>
    </x:dataValidation>
    <x:dataValidation type="list" sqref="AC5:AC12">
      <x:formula1>enum_cause_status</x:formula1>
    </x:dataValidation>
    <x:dataValidation type="list" sqref="AH5:AH12">
      <x:formula1>enum_verification_status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6.110000610351562" hidden="0" customWidth="1"/>
    <x:col min="35" max="35" width="26.670000076293945" hidden="0" customWidth="1"/>
    <x:col min="36" max="36" width="19.440000534057617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</x:cols>
  <x:sheetData>
    <x:row r="1" ht="25.5" customHeight="1">
      <x:c r="A1" s="16" t="str">
        <x:v>Гипотезы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</x:row>
    <x:row r="2" ht="22.5" customHeight="1">
      <x:c r="A2" s="18" t="str">
        <x:v>Новые внешние возможности развития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</x:row>
    <x:row r="3" ht="28.5" customHeight="1">
      <x:c r="A3" s="21" t="str">
        <x:v>Сформулированная гипотеза начинается с внешнего изменения и проверяемого источника.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</x:row>
    <x:row r="4" ht="16.5" customHeight="1">
      <x:c r="A4" s="12" t="str">
        <x:v>hypothesis_id</x:v>
      </x:c>
      <x:c r="B4" s="12" t="str">
        <x:v>hypothesis_title</x:v>
      </x:c>
      <x:c r="C4" s="12" t="str">
        <x:v>hypothesis_status</x:v>
      </x:c>
      <x:c r="D4" s="25" t="str">
        <x:v>external_change</x:v>
      </x:c>
      <x:c r="E4" s="25" t="str">
        <x:v>source_id</x:v>
      </x:c>
      <x:c r="F4" s="25" t="str">
        <x:v>source_selector</x:v>
      </x:c>
      <x:c r="G4" s="25" t="str">
        <x:v>source_locator</x:v>
      </x:c>
      <x:c r="H4" s="25" t="str">
        <x:v>new_opportunity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proposed_change</x:v>
      </x:c>
      <x:c r="P4" s="25" t="str">
        <x:v>mechanism</x:v>
      </x:c>
      <x:c r="Q4" s="25" t="str">
        <x:v>primary_metric_id</x:v>
      </x:c>
      <x:c r="R4" s="25" t="str">
        <x:v>primary_metric_selector</x:v>
      </x:c>
      <x:c r="S4" s="25" t="str">
        <x:v>baseline</x:v>
      </x:c>
      <x:c r="T4" s="25" t="str">
        <x:v>expected_target</x:v>
      </x:c>
      <x:c r="U4" s="25" t="str">
        <x:v>effect_horizon</x:v>
      </x:c>
      <x:c r="V4" s="25" t="str">
        <x:v>support_criterion</x:v>
      </x:c>
      <x:c r="W4" s="25" t="str">
        <x:v>refutation_criterion</x:v>
      </x:c>
      <x:c r="X4" s="25" t="str">
        <x:v>inconclusive_criterion</x:v>
      </x:c>
      <x:c r="Y4" s="25" t="str">
        <x:v>secondary_positive_effects</x:v>
      </x:c>
      <x:c r="Z4" s="25" t="str">
        <x:v>secondary_negative_effects</x:v>
      </x:c>
      <x:c r="AA4" s="25" t="str">
        <x:v>soft_guardrails</x:v>
      </x:c>
      <x:c r="AB4" s="25" t="str">
        <x:v>responsible_position_id</x:v>
      </x:c>
      <x:c r="AC4" s="25" t="str">
        <x:v>responsible_position_selector</x:v>
      </x:c>
      <x:c r="AD4" s="25" t="str">
        <x:v>evidence_result</x:v>
      </x:c>
      <x:c r="AE4" s="25" t="str">
        <x:v>owner_decision</x:v>
      </x:c>
      <x:c r="AF4" s="25" t="str">
        <x:v>owner_decision_id</x:v>
      </x:c>
      <x:c r="AG4" s="25" t="str">
        <x:v>owner_decision_selector</x:v>
      </x:c>
      <x:c r="AH4" s="25" t="str">
        <x:v>resulting_version_id</x:v>
      </x:c>
      <x:c r="AI4" s="25" t="str">
        <x:v>resulting_version_selector</x:v>
      </x:c>
      <x:c r="AJ4" s="12" t="str">
        <x:v>next_step</x:v>
      </x:c>
      <x:c r="AK4" s="25" t="str">
        <x:v>due_date</x:v>
      </x:c>
      <x:c r="AL4" s="25" t="str">
        <x:v>opened_at</x:v>
      </x:c>
      <x:c r="AM4" s="25" t="str">
        <x:v>formulated_at</x:v>
      </x:c>
      <x:c r="AN4" s="25" t="str">
        <x:v>tested_at</x:v>
      </x:c>
      <x:c r="AO4" s="25" t="str">
        <x:v>closed_at</x:v>
      </x:c>
      <x:c r="AP4" s="25" t="str">
        <x:v>notes</x:v>
      </x:c>
    </x:row>
    <x:row r="5" ht="42" customHeight="1">
      <x:c r="A5" s="28" t="str">
        <x:v>hyp-demo-transcript</x:v>
      </x:c>
      <x:c r="B5" s="28" t="str">
        <x:v>Автоматическая расшифровка ускорит квалификацию</x:v>
      </x:c>
      <x:c r="C5" s="28" t="str">
        <x:v>сформулирована</x:v>
      </x:c>
      <x:c r="D5" s="28" t="str">
        <x:v>Появилась надёжная расшифровка звонков</x:v>
      </x:c>
      <x:c r="E5" s="28" t="str">
        <x:v>src-demo-research</x:v>
      </x:c>
      <x:c r="F5" s="28" t="str">
        <x:v>Обзор технологии расшифровки</x:v>
      </x:c>
      <x:c r="G5" s="28" t="str">
        <x:v>public-demo-source#capability</x:v>
      </x:c>
      <x:c r="H5" s="28" t="str">
        <x:v>Разбирать звонок без ручного конспекта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Менеджер меньше времени тратит на конспект</x:v>
      </x:c>
      <x:c r="Q5" s="28" t="str">
        <x:v>metric-demo-duration</x:v>
      </x:c>
      <x:c r="R5" s="28" t="str">
        <x:v>Медианное время квалификации</x:v>
      </x:c>
      <x:c r="S5" s="28" t="str">
        <x:v>20 минут</x:v>
      </x:c>
      <x:c r="T5" s="28" t="str">
        <x:v>12 минут</x:v>
      </x:c>
      <x:c r="U5" s="28" t="str">
        <x:v>30 дней</x:v>
      </x:c>
      <x:c r="V5" s="28" t="str">
        <x:v>Медиана не более 12 минут без снижения качества</x:v>
      </x:c>
      <x:c r="W5" s="28" t="str">
        <x:v>Медиана не изменилась либо качество снизилось</x:v>
      </x:c>
      <x:c r="X5" s="28" t="str">
        <x:v>Недостаточно наблюдений для вывода</x:v>
      </x:c>
      <x:c r="Y5" s="28"/>
      <x:c r="Z5" s="28"/>
      <x:c r="AA5" s="28"/>
      <x:c r="AB5" s="28" t="str">
        <x:v>pos-demo-owner</x:v>
      </x:c>
      <x:c r="AC5" s="28" t="str">
        <x:v>Владелец ПС</x:v>
      </x:c>
      <x:c r="AD5" s="28"/>
      <x:c r="AE5" s="28"/>
      <x:c r="AF5" s="28"/>
      <x:c r="AG5" s="28"/>
      <x:c r="AH5" s="28"/>
      <x:c r="AI5" s="28"/>
      <x:c r="AJ5" s="28" t="str">
        <x:v>Подготовить эксперимент</x:v>
      </x:c>
      <x:c r="AK5" s="30" t="n">
        <x:v>46259</x:v>
      </x:c>
      <x:c r="AL5" s="29"/>
      <x:c r="AM5" s="29"/>
      <x:c r="AN5" s="29"/>
      <x:c r="AO5" s="29"/>
      <x:c r="AP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</x:row>
  </x:sheetData>
  <x:mergeCells>
    <x:mergeCell ref="A1:L1"/>
    <x:mergeCell ref="A2:L2"/>
    <x:mergeCell ref="A3:L3"/>
  </x:mergeCells>
  <x:dataValidations count="4">
    <x:dataValidation type="list" sqref="C5:C12">
      <x:formula1>enum_hypothesis_status</x:formula1>
    </x:dataValidation>
    <x:dataValidation type="list" sqref="K5:K12">
      <x:formula1>enum_development_scope_type</x:formula1>
    </x:dataValidation>
    <x:dataValidation type="list" sqref="AD5:AD12">
      <x:formula1>enum_evidence_result</x:formula1>
    </x:dataValidation>
    <x:dataValidation type="list" sqref="AE5:AE12">
      <x:formula1>enum_development_decision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  <x:col min="35" max="35" width="16.110000610351562" hidden="0" customWidth="1"/>
    <x:col min="36" max="36" width="26.670000076293945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6.110000610351562" hidden="0" customWidth="1"/>
    <x:col min="43" max="43" width="26.670000076293945" hidden="0" customWidth="1"/>
    <x:col min="44" max="44" width="16.110000610351562" hidden="0" customWidth="1"/>
    <x:col min="45" max="45" width="26.670000076293945" hidden="0" customWidth="1"/>
    <x:col min="46" max="46" width="19.440000534057617" hidden="0" customWidth="1"/>
    <x:col min="47" max="47" width="19.440000534057617" hidden="0" customWidth="1"/>
    <x:col min="48" max="48" width="19.440000534057617" hidden="0" customWidth="1"/>
  </x:cols>
  <x:sheetData>
    <x:row r="1" ht="25.5" customHeight="1">
      <x:c r="A1" s="16" t="str">
        <x:v>Эксперименты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</x:row>
    <x:row r="2" ht="22.5" customHeight="1">
      <x:c r="A2" s="18" t="str">
        <x:v>Ограниченные проверки исправлений и гипотез развития.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</x:row>
    <x:row r="3" ht="28.5" customHeight="1">
      <x:c r="A3" s="21" t="str">
        <x:v>Выберите ровно одно основание: отклонение или гипотезу. Решения подтверждает человек.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</x:row>
    <x:row r="4" ht="16.5" customHeight="1">
      <x:c r="A4" s="12" t="str">
        <x:v>experiment_id</x:v>
      </x:c>
      <x:c r="B4" s="12" t="str">
        <x:v>experiment_title</x:v>
      </x:c>
      <x:c r="C4" s="12" t="str">
        <x:v>experiment_status</x:v>
      </x:c>
      <x:c r="D4" s="25" t="str">
        <x:v>basis_type</x:v>
      </x:c>
      <x:c r="E4" s="25" t="str">
        <x:v>deviation_id</x:v>
      </x:c>
      <x:c r="F4" s="25" t="str">
        <x:v>deviation_selector</x:v>
      </x:c>
      <x:c r="G4" s="25" t="str">
        <x:v>hypothesis_id</x:v>
      </x:c>
      <x:c r="H4" s="25" t="str">
        <x:v>hypothesis_selector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temporary_change</x:v>
      </x:c>
      <x:c r="P4" s="25" t="str">
        <x:v>instances_or_volume</x:v>
      </x:c>
      <x:c r="Q4" s="25" t="str">
        <x:v>comparison_method</x:v>
      </x:c>
      <x:c r="R4" s="25" t="str">
        <x:v>primary_metric_id</x:v>
      </x:c>
      <x:c r="S4" s="25" t="str">
        <x:v>primary_metric_selector</x:v>
      </x:c>
      <x:c r="T4" s="25" t="str">
        <x:v>baseline</x:v>
      </x:c>
      <x:c r="U4" s="25" t="str">
        <x:v>success_criterion</x:v>
      </x:c>
      <x:c r="V4" s="25" t="str">
        <x:v>secondary_effects</x:v>
      </x:c>
      <x:c r="W4" s="25" t="str">
        <x:v>soft_guardrails</x:v>
      </x:c>
      <x:c r="X4" s="25" t="str">
        <x:v>planned_start</x:v>
      </x:c>
      <x:c r="Y4" s="25" t="str">
        <x:v>planned_end</x:v>
      </x:c>
      <x:c r="Z4" s="25" t="str">
        <x:v>actual_start</x:v>
      </x:c>
      <x:c r="AA4" s="25" t="str">
        <x:v>actual_end</x:v>
      </x:c>
      <x:c r="AB4" s="25" t="str">
        <x:v>responsible_position_id</x:v>
      </x:c>
      <x:c r="AC4" s="25" t="str">
        <x:v>responsible_position_selector</x:v>
      </x:c>
      <x:c r="AD4" s="25" t="str">
        <x:v>launch_decision_id</x:v>
      </x:c>
      <x:c r="AE4" s="25" t="str">
        <x:v>launch_decision_selector</x:v>
      </x:c>
      <x:c r="AF4" s="25" t="str">
        <x:v>stop_condition</x:v>
      </x:c>
      <x:c r="AG4" s="25" t="str">
        <x:v>rollback_plan</x:v>
      </x:c>
      <x:c r="AH4" s="25" t="str">
        <x:v>result_channel</x:v>
      </x:c>
      <x:c r="AI4" s="25" t="str">
        <x:v>result_source_id</x:v>
      </x:c>
      <x:c r="AJ4" s="25" t="str">
        <x:v>result_source_selector</x:v>
      </x:c>
      <x:c r="AK4" s="25" t="str">
        <x:v>result_source_locator</x:v>
      </x:c>
      <x:c r="AL4" s="25" t="str">
        <x:v>additional_evidence</x:v>
      </x:c>
      <x:c r="AM4" s="25" t="str">
        <x:v>actual_result</x:v>
      </x:c>
      <x:c r="AN4" s="25" t="str">
        <x:v>conclusion</x:v>
      </x:c>
      <x:c r="AO4" s="25" t="str">
        <x:v>implementation_decision</x:v>
      </x:c>
      <x:c r="AP4" s="25" t="str">
        <x:v>implementation_decision_id</x:v>
      </x:c>
      <x:c r="AQ4" s="25" t="str">
        <x:v>implementation_decision_selector</x:v>
      </x:c>
      <x:c r="AR4" s="25" t="str">
        <x:v>resulting_version_id</x:v>
      </x:c>
      <x:c r="AS4" s="25" t="str">
        <x:v>resulting_version_selector</x:v>
      </x:c>
      <x:c r="AT4" s="12" t="str">
        <x:v>next_step</x:v>
      </x:c>
      <x:c r="AU4" s="25" t="str">
        <x:v>due_date</x:v>
      </x:c>
      <x:c r="AV4" s="25" t="str">
        <x:v>notes</x:v>
      </x:c>
    </x:row>
    <x:row r="5" ht="42" customHeight="1">
      <x:c r="A5" s="28" t="str">
        <x:v>exp-demo-transcript</x:v>
      </x:c>
      <x:c r="B5" s="28" t="str">
        <x:v>Проверка расшифровки на 20 звонках</x:v>
      </x:c>
      <x:c r="C5" s="28" t="str">
        <x:v>подготовлен</x:v>
      </x:c>
      <x:c r="D5" s="28" t="str">
        <x:f>IF(A5="","",IF(AND(E5&lt;&gt;"",G5=""),"отклонение",IF(AND(E5="",G5&lt;&gt;""),"гипотеза","")))</x:f>
        <x:v>гипотеза</x:v>
      </x:c>
      <x:c r="E5" s="28"/>
      <x:c r="F5" s="28"/>
      <x:c r="G5" s="28" t="str">
        <x:v>hyp-demo-transcript</x:v>
      </x:c>
      <x:c r="H5" s="28" t="str">
        <x:v>Автоматическая расшифровка ускорит квалификацию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20 звонков</x:v>
      </x:c>
      <x:c r="Q5" s="28" t="str">
        <x:v>Сравнить медианное время с baseline</x:v>
      </x:c>
      <x:c r="R5" s="28" t="str">
        <x:v>metric-demo-duration</x:v>
      </x:c>
      <x:c r="S5" s="28" t="str">
        <x:v>Медианное время квалификации</x:v>
      </x:c>
      <x:c r="T5" s="28" t="str">
        <x:v>20 минут</x:v>
      </x:c>
      <x:c r="U5" s="28" t="str">
        <x:v>Не более 12 минут без снижения качества</x:v>
      </x:c>
      <x:c r="V5" s="28"/>
      <x:c r="W5" s="28"/>
      <x:c r="X5" s="30" t="n">
        <x:v>46249</x:v>
      </x:c>
      <x:c r="Y5" s="30" t="n">
        <x:v>46259</x:v>
      </x:c>
      <x:c r="Z5" s="29"/>
      <x:c r="AA5" s="29"/>
      <x:c r="AB5" s="28" t="str">
        <x:v>pos-demo-owner</x:v>
      </x:c>
      <x:c r="AC5" s="28" t="str">
        <x:v>Владелец ПС</x:v>
      </x:c>
      <x:c r="AD5" s="28"/>
      <x:c r="AE5" s="28"/>
      <x:c r="AF5" s="28" t="str">
        <x:v>Утечка данных или ухудшение качества</x:v>
      </x:c>
      <x:c r="AG5" s="28" t="str">
        <x:v>Отключить расшифровку</x:v>
      </x:c>
      <x:c r="AH5" s="28"/>
      <x:c r="AI5" s="28"/>
      <x:c r="AJ5" s="28"/>
      <x:c r="AK5" s="28"/>
      <x:c r="AL5" s="28"/>
      <x:c r="AM5" s="28"/>
      <x:c r="AN5" s="28"/>
      <x:c r="AO5" s="28"/>
      <x:c r="AP5" s="28"/>
      <x:c r="AQ5" s="28"/>
      <x:c r="AR5" s="28"/>
      <x:c r="AS5" s="28"/>
      <x:c r="AT5" s="28" t="str">
        <x:v>Получить решение о запуске</x:v>
      </x:c>
      <x:c r="AU5" s="30" t="n">
        <x:v>46262</x:v>
      </x:c>
      <x:c r="AV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  <x:c r="AS6" s="14"/>
      <x:c r="AT6" s="14"/>
      <x:c r="AU6" s="14"/>
      <x:c r="A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  <x:c r="AS7" s="14"/>
      <x:c r="AT7" s="14"/>
      <x:c r="AU7" s="14"/>
      <x:c r="A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  <x:c r="AS8" s="14"/>
      <x:c r="AT8" s="14"/>
      <x:c r="AU8" s="14"/>
      <x:c r="A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  <x:c r="AS9" s="14"/>
      <x:c r="AT9" s="14"/>
      <x:c r="AU9" s="14"/>
      <x:c r="A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  <x:c r="AS10" s="14"/>
      <x:c r="AT10" s="14"/>
      <x:c r="AU10" s="14"/>
      <x:c r="A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  <x:c r="AS11" s="14"/>
      <x:c r="AT11" s="14"/>
      <x:c r="AU11" s="14"/>
      <x:c r="A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  <x:c r="AS12" s="14"/>
      <x:c r="AT12" s="14"/>
      <x:c r="AU12" s="14"/>
      <x:c r="A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</x:row>
  </x:sheetData>
  <x:mergeCells>
    <x:mergeCell ref="A1:L1"/>
    <x:mergeCell ref="A2:L2"/>
    <x:mergeCell ref="A3:L3"/>
  </x:mergeCells>
  <x:dataValidations count="5">
    <x:dataValidation type="list" sqref="C5:C12">
      <x:formula1>enum_experiment_status</x:formula1>
    </x:dataValidation>
    <x:dataValidation type="list" sqref="D5:D12">
      <x:formula1>enum_experiment_basis_type</x:formula1>
    </x:dataValidation>
    <x:dataValidation type="list" sqref="K5:K12">
      <x:formula1>enum_development_scope_type</x:formula1>
    </x:dataValidation>
    <x:dataValidation type="list" sqref="AH5:AH12">
      <x:formula1>enum_evidence_channel</x:formula1>
    </x:dataValidation>
    <x:dataValidation type="list" sqref="AO5:AO12">
      <x:formula1>enum_development_decision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6.670000076293945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</x:cols>
  <x:sheetData>
    <x:row r="1" ht="25.5" customHeight="1">
      <x:c r="A1" s="16" t="str">
        <x:v>Срез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</x:row>
    <x:row r="2" ht="22.5" customHeight="1">
      <x:c r="A2" s="18" t="str">
        <x:v>Лист канонической модели v0.3: Срез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</x:row>
    <x:row r="4" ht="16.5" customHeight="1">
      <x:c r="A4" s="25" t="str">
        <x:v>selected_version_id</x:v>
      </x:c>
      <x:c r="B4" s="25" t="str">
        <x:v>selected_version_selector</x:v>
      </x:c>
      <x:c r="C4" s="25" t="str">
        <x:v>entity_type</x:v>
      </x:c>
      <x:c r="D4" s="25" t="str">
        <x:v>stable_id</x:v>
      </x:c>
      <x:c r="E4" s="25" t="str">
        <x:v>entity_selector</x:v>
      </x:c>
      <x:c r="F4" s="25" t="str">
        <x:v>source_version_id</x:v>
      </x:c>
      <x:c r="G4" s="25" t="str">
        <x:v>source_version_selector</x:v>
      </x:c>
      <x:c r="H4" s="25" t="str">
        <x:v>source_sheet</x:v>
      </x:c>
      <x:c r="I4" s="25" t="str">
        <x:v>source_row_key</x:v>
      </x:c>
      <x:c r="J4" s="25" t="str">
        <x:v>resolved_operation</x:v>
      </x:c>
      <x:c r="K4" s="25" t="str">
        <x:v>resolution_status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1:K1"/>
    <x:mergeCell ref="A2:K2"/>
    <x:mergeCell ref="A3:K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Проверки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Проверки.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25" t="str">
        <x:v>check_id</x:v>
      </x:c>
      <x:c r="B4" s="25" t="str">
        <x:v>category</x:v>
      </x:c>
      <x:c r="C4" s="25" t="str">
        <x:v>severity</x:v>
      </x:c>
      <x:c r="D4" s="25" t="str">
        <x:v>check_name</x:v>
      </x:c>
      <x:c r="E4" s="25" t="str">
        <x:v>result_count</x:v>
      </x:c>
      <x:c r="F4" s="25" t="str">
        <x:v>status</x:v>
      </x:c>
      <x:c r="G4" s="25" t="str">
        <x:v>blocking</x:v>
      </x:c>
      <x:c r="H4" s="25" t="str">
        <x:v>affected_ids</x:v>
      </x:c>
      <x:c r="I4" s="25" t="str">
        <x:v>remediation</x:v>
      </x:c>
    </x:row>
    <x:row r="5" ht="16.5" customHeight="1">
      <x:c r="A5" s="14" t="str">
        <x:v>CHK-DEMO</x:v>
      </x:c>
      <x:c r="B5" s="14" t="str">
        <x:v>демонстрация</x:v>
      </x:c>
      <x:c r="C5" s="14" t="str">
        <x:v>предупреждение</x:v>
      </x:c>
      <x:c r="D5" s="14" t="str">
        <x:v>Review-XLSX содержит технические контракты</x:v>
      </x:c>
      <x:c r="E5" s="14"/>
      <x:c r="F5" s="14" t="str">
        <x:v>OK</x:v>
      </x:c>
      <x:c r="G5" s="14"/>
      <x:c r="H5" s="14"/>
      <x:c r="I5" s="14" t="str">
        <x:v>Каноническую проверку выполняет Google Sheets builder v0.3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conditionalFormatting sqref="A5:I12">
    <x:cfRule type="expression" dxfId="0" priority="1">
      <x:formula>$F5="ERROR"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26.670000076293945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26.670000076293945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Реестр процессов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Реестр процессов.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25" t="str">
        <x:v>selected_version_id</x:v>
      </x:c>
      <x:c r="B4" s="25" t="str">
        <x:v>process_id</x:v>
      </x:c>
      <x:c r="C4" s="25" t="str">
        <x:v>process_selector</x:v>
      </x:c>
      <x:c r="D4" s="25" t="str">
        <x:v>system_selector</x:v>
      </x:c>
      <x:c r="E4" s="25" t="str">
        <x:v>parent_process_selector</x:v>
      </x:c>
      <x:c r="F4" s="25" t="str">
        <x:v>process_name</x:v>
      </x:c>
      <x:c r="G4" s="25" t="str">
        <x:v>goal</x:v>
      </x:c>
      <x:c r="H4" s="25" t="str">
        <x:v>trigger</x:v>
      </x:c>
      <x:c r="I4" s="25" t="str">
        <x:v>process_input</x:v>
      </x:c>
      <x:c r="J4" s="25" t="str">
        <x:v>process_output</x:v>
      </x:c>
      <x:c r="K4" s="25" t="str">
        <x:v>owner_position_selector</x:v>
      </x:c>
      <x:c r="L4" s="25" t="str">
        <x:v>action_count</x:v>
      </x:c>
      <x:c r="M4" s="25" t="str">
        <x:v>transition_count</x:v>
      </x:c>
      <x:c r="N4" s="25" t="str">
        <x:v>execution_status</x:v>
      </x:c>
      <x:c r="O4" s="25" t="str">
        <x:v>knowledge_status</x:v>
      </x:c>
      <x:c r="P4" s="25" t="str">
        <x:v>source_selector</x:v>
      </x:c>
      <x:c r="Q4" s="25" t="str">
        <x:v>completeness_status</x:v>
      </x:c>
      <x:c r="R4" s="25" t="str">
        <x:v>diagram_id</x:v>
      </x:c>
      <x:c r="S4" s="25" t="str">
        <x:v>diagram_selector</x:v>
      </x:c>
      <x:c r="T4" s="25" t="str">
        <x:v>readiness_status</x:v>
      </x:c>
      <x:c r="U4" s="25" t="str">
        <x:v>svg_url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3.890000343322754" hidden="0" customWidth="1"/>
    <x:col min="3" max="3" width="22.219999313354492" hidden="0" customWidth="1"/>
    <x:col min="4" max="4" width="18.889999389648438" hidden="0" customWidth="1"/>
    <x:col min="5" max="5" width="13.890000343322754" hidden="0" customWidth="1"/>
    <x:col min="6" max="6" width="13.890000343322754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20" hidden="0" customWidth="1"/>
    <x:col min="11" max="11" width="13.890000343322754" hidden="0" customWidth="1"/>
    <x:col min="12" max="12" width="13.890000343322754" hidden="0" customWidth="1"/>
  </x:cols>
  <x:sheetData>
    <x:row r="1" ht="16.5" customHeight="1">
      <x:c r="A1" s="5" t="str">
        <x:v>Рабочая панель модели бизнеса v0.3 — демонстрационное состояние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</x:row>
    <x:row r="2" ht="16.5" customHeight="1">
      <x:c r="A2" s="18" t="str">
        <x:v>Selector показывает только читаемый текст; технический ID открыт рядом. Ниже — связный срез одного выбранного процесса.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</x:row>
    <x:row r="3" ht="16.5" customHeight="1">
      <x:c r="A3" s="13" t="str">
        <x:v>Версия</x:v>
      </x:c>
      <x:c r="B3" s="32" t="str">
        <x:v>Текущая модель v0.3</x:v>
      </x:c>
      <x:c r="C3" s="13" t="str"/>
      <x:c r="D3" s="33" t="str">
        <x:v>selected_version_id</x:v>
      </x:c>
      <x:c r="E3" s="33" t="str">
        <x:f>IF(B3="","",XLOOKUP(B3,selector_demo_versions,selector_demo_versions_ids,""))</x:f>
        <x:v>ver-demo-v0.3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</x:row>
    <x:row r="4" ht="16.5" customHeight="1">
      <x:c r="A4" s="13" t="str">
        <x:v>Система</x:v>
      </x:c>
      <x:c r="B4" s="32" t="str">
        <x:v>Привлечение</x:v>
      </x:c>
      <x:c r="C4" s="13" t="str"/>
      <x:c r="D4" s="33" t="str">
        <x:v>selected_system_id</x:v>
      </x:c>
      <x:c r="E4" s="33" t="str">
        <x:f>IF(B4="","",XLOOKUP(B4,selector_demo_systems,selector_demo_systems_ids,""))</x:f>
        <x:v>ps-demo-attraction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</x:row>
    <x:row r="5" ht="16.5" customHeight="1">
      <x:c r="A5" s="13" t="str">
        <x:v>Процесс</x:v>
      </x:c>
      <x:c r="B5" s="32" t="str">
        <x:v>Обработка лида</x:v>
      </x:c>
      <x:c r="C5" s="13" t="str"/>
      <x:c r="D5" s="33" t="str">
        <x:v>selected_process_id</x:v>
      </x:c>
      <x:c r="E5" s="33" t="str">
        <x:f>IF(B5="","",XLOOKUP(B5,selector_demo_processes,selector_demo_processes_ids,""))</x:f>
        <x:v>prc-demo-lead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</x:row>
    <x:row r="6" ht="16.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</x:row>
    <x:row r="7" ht="16.5" customHeight="1">
      <x:c r="A7" s="24" t="str">
        <x:v>Паспорт системы</x:v>
      </x:c>
      <x:c r="B7" s="24"/>
      <x:c r="C7" s="24"/>
      <x:c r="D7" s="24"/>
      <x:c r="E7" s="24"/>
      <x:c r="F7" s="2"/>
      <x:c r="G7" s="24" t="str">
        <x:v>Паспорт процесса</x:v>
      </x:c>
      <x:c r="H7" s="24"/>
      <x:c r="I7" s="24"/>
      <x:c r="J7" s="24"/>
      <x:c r="K7" s="24"/>
      <x:c r="L7" s="24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</x:row>
    <x:row r="8" ht="16.5" customHeight="1">
      <x:c r="A8" s="12" t="str">
        <x:v>system_id</x:v>
      </x:c>
      <x:c r="B8" s="12" t="str">
        <x:v>система</x:v>
      </x:c>
      <x:c r="C8" s="12" t="str">
        <x:v>назначение</x:v>
      </x:c>
      <x:c r="D8" s="12" t="str">
        <x:v>владелец</x:v>
      </x:c>
      <x:c r="E8" s="12" t="str">
        <x:v>статус</x:v>
      </x:c>
      <x:c r="F8" s="2"/>
      <x:c r="G8" s="12" t="str">
        <x:v>process_id</x:v>
      </x:c>
      <x:c r="H8" s="12" t="str">
        <x:v>процесс</x:v>
      </x:c>
      <x:c r="I8" s="12" t="str">
        <x:v>цель</x:v>
      </x:c>
      <x:c r="J8" s="12" t="str">
        <x:v>триггер</x:v>
      </x:c>
      <x:c r="K8" s="12" t="str">
        <x:v>вход</x:v>
      </x:c>
      <x:c r="L8" s="12" t="str">
        <x:v>выход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</x:row>
    <x:row r="9" ht="31.5" customHeight="1">
      <x:c r="A9" s="14" t="str">
        <x:v>ps-demo-attraction</x:v>
      </x:c>
      <x:c r="B9" s="14" t="str">
        <x:v>Привлечение</x:v>
      </x:c>
      <x:c r="C9" s="14" t="str">
        <x:v>Создать квалифицированный спрос</x:v>
      </x:c>
      <x:c r="D9" s="14" t="str">
        <x:v>Владелец ПС</x:v>
      </x:c>
      <x:c r="E9" s="14" t="str">
        <x:v>действует</x:v>
      </x:c>
      <x:c r="F9" s="2"/>
      <x:c r="G9" s="14" t="str">
        <x:v>prc-demo-lead</x:v>
      </x:c>
      <x:c r="H9" s="14" t="str">
        <x:v>Обработка лида</x:v>
      </x:c>
      <x:c r="I9" s="14" t="str">
        <x:v>Квалифицировать лид</x:v>
      </x:c>
      <x:c r="J9" s="14" t="str">
        <x:v>Получен лид</x:v>
      </x:c>
      <x:c r="K9" s="14" t="str">
        <x:v>Лид</x:v>
      </x:c>
      <x:c r="L9" s="14" t="str">
        <x:v>Квалифицированный лид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</x:row>
    <x:row r="10" ht="16.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</x:row>
    <x:row r="11" ht="16.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</x:row>
    <x:row r="12" ht="16.5" customHeight="1">
      <x:c r="A12" s="24" t="str">
        <x:v>Действия и состояния</x:v>
      </x:c>
      <x:c r="B12" s="24"/>
      <x:c r="C12" s="24"/>
      <x:c r="D12" s="24"/>
      <x:c r="E12" s="24"/>
      <x:c r="F12" s="24"/>
      <x:c r="G12" s="24" t="str">
        <x:v>Материалы процесса</x:v>
      </x:c>
      <x:c r="H12" s="24"/>
      <x:c r="I12" s="24"/>
      <x:c r="J12" s="24"/>
      <x:c r="K12" s="24"/>
      <x:c r="L12" s="24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</x:row>
    <x:row r="13" ht="16.5" customHeight="1">
      <x:c r="A13" s="12" t="str">
        <x:v>action_id</x:v>
      </x:c>
      <x:c r="B13" s="12" t="str">
        <x:v>действие</x:v>
      </x:c>
      <x:c r="C13" s="12" t="str">
        <x:v>состояние до</x:v>
      </x:c>
      <x:c r="D13" s="12" t="str">
        <x:v>состояние после</x:v>
      </x:c>
      <x:c r="E13" s="12" t="str">
        <x:v>позиция</x:v>
      </x:c>
      <x:c r="F13" s="12" t="str">
        <x:v>срок</x:v>
      </x:c>
      <x:c r="G13" s="12" t="str">
        <x:v>action_id</x:v>
      </x:c>
      <x:c r="H13" s="12" t="str">
        <x:v>действие</x:v>
      </x:c>
      <x:c r="I13" s="12" t="str">
        <x:v>material_id</x:v>
      </x:c>
      <x:c r="J13" s="12" t="str">
        <x:v>материал</x:v>
      </x:c>
      <x:c r="K13" s="12" t="str">
        <x:v>роль</x:v>
      </x:c>
      <x:c r="L13" s="12" t="str">
        <x:v>использование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</x:row>
    <x:row r="14" ht="31.5" customHeight="1">
      <x:c r="A14" s="14" t="str">
        <x:v>act-demo-qualify</x:v>
      </x:c>
      <x:c r="B14" s="14" t="str">
        <x:v>Квалифицировать лид</x:v>
      </x:c>
      <x:c r="C14" s="14" t="str">
        <x:v>Новый</x:v>
      </x:c>
      <x:c r="D14" s="14" t="str">
        <x:v>Квалифицирован</x:v>
      </x:c>
      <x:c r="E14" s="14" t="str">
        <x:v>Менеджер</x:v>
      </x:c>
      <x:c r="F14" s="14" t="str">
        <x:v>3 дня</x:v>
      </x:c>
      <x:c r="G14" s="14" t="str">
        <x:v>act-demo-qualify</x:v>
      </x:c>
      <x:c r="H14" s="14" t="str">
        <x:v>Квалифицировать лид</x:v>
      </x:c>
      <x:c r="I14" s="14" t="str">
        <x:v>mat-demo-script</x:v>
      </x:c>
      <x:c r="J14" s="14" t="str">
        <x:v>Скрипт квалификации</x:v>
      </x:c>
      <x:c r="K14" s="14" t="str">
        <x:v>инструкция</x:v>
      </x:c>
      <x:c r="L14" s="14" t="str">
        <x:v>Подсказывает вопросы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</x:row>
    <x:row r="17" ht="16.5" customHeight="1">
      <x:c r="A17" s="24" t="str">
        <x:v>Внешняя цепочка</x:v>
      </x:c>
      <x:c r="B17" s="24"/>
      <x:c r="C17" s="24"/>
      <x:c r="D17" s="24"/>
      <x:c r="E17" s="24"/>
      <x:c r="F17" s="24"/>
      <x:c r="G17" s="24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</x:row>
    <x:row r="18" ht="16.5" customHeight="1">
      <x:c r="A18" s="12" t="str">
        <x:v>контрагент</x:v>
      </x:c>
      <x:c r="B18" s="12" t="str">
        <x:v>направление</x:v>
      </x:c>
      <x:c r="C18" s="12" t="str">
        <x:v>компонент</x:v>
      </x:c>
      <x:c r="D18" s="12" t="str">
        <x:v>контракт</x:v>
      </x:c>
      <x:c r="E18" s="12" t="str">
        <x:v>интерфейс</x:v>
      </x:c>
      <x:c r="F18" s="12" t="str">
        <x:v>документ</x:v>
      </x:c>
      <x:c r="G18" s="12" t="str">
        <x:v>действие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</x:row>
    <x:row r="19" ht="31.5" customHeight="1">
      <x:c r="A19" s="14" t="str">
        <x:v>Поставщик лидов</x:v>
      </x:c>
      <x:c r="B19" s="14" t="str">
        <x:v>поставляет</x:v>
      </x:c>
      <x:c r="C19" s="14" t="str">
        <x:v>Лид качества A (продукт)</x:v>
      </x:c>
      <x:c r="D19" s="14" t="str">
        <x:v>Поставка лидов</x:v>
      </x:c>
      <x:c r="E19" s="14" t="str">
        <x:v>API CRM</x:v>
      </x:c>
      <x:c r="F19" s="14" t="str">
        <x:v>Открыть документ</x:v>
      </x:c>
      <x:c r="G19" s="14" t="str">
        <x:v>Принять лид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</x:row>
    <x:row r="22" ht="16.5" customHeight="1">
      <x:c r="A22" s="24" t="str">
        <x:v>Связано с выбранным процессом</x:v>
      </x:c>
      <x:c r="B22" s="24"/>
      <x:c r="C22" s="24"/>
      <x:c r="D22" s="24"/>
      <x:c r="E22" s="24"/>
      <x:c r="F22" s="24"/>
      <x:c r="G22" s="24" t="str">
        <x:v>Влияет на систему в целом</x:v>
      </x:c>
      <x:c r="H22" s="24"/>
      <x:c r="I22" s="24"/>
      <x:c r="J22" s="24"/>
      <x:c r="K22" s="24"/>
      <x:c r="L22" s="24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</x:row>
    <x:row r="23" ht="16.5" customHeight="1">
      <x:c r="A23" s="12" t="str">
        <x:v>тип</x:v>
      </x:c>
      <x:c r="B23" s="12" t="str">
        <x:v>ID</x:v>
      </x:c>
      <x:c r="C23" s="12" t="str">
        <x:v>название</x:v>
      </x:c>
      <x:c r="D23" s="12" t="str">
        <x:v>статус</x:v>
      </x:c>
      <x:c r="E23" s="12" t="str">
        <x:v>следующий шаг</x:v>
      </x:c>
      <x:c r="F23" s="12" t="str">
        <x:v>срок</x:v>
      </x:c>
      <x:c r="G23" s="12" t="str">
        <x:v>тип</x:v>
      </x:c>
      <x:c r="H23" s="12" t="str">
        <x:v>ID</x:v>
      </x:c>
      <x:c r="I23" s="12" t="str">
        <x:v>название</x:v>
      </x:c>
      <x:c r="J23" s="12" t="str">
        <x:v>статус</x:v>
      </x:c>
      <x:c r="K23" s="12" t="str">
        <x:v>следующий шаг</x:v>
      </x:c>
      <x:c r="L23" s="12" t="str">
        <x:v>срок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</x:row>
    <x:row r="24" ht="31.5" customHeight="1">
      <x:c r="A24" s="14" t="str">
        <x:v>отклонение</x:v>
      </x:c>
      <x:c r="B24" s="14" t="str">
        <x:v>dev-demo-sla</x:v>
      </x:c>
      <x:c r="C24" s="14" t="str">
        <x:v>Нарушается SLA</x:v>
      </x:c>
      <x:c r="D24" s="14" t="str">
        <x:v>в устранении</x:v>
      </x:c>
      <x:c r="E24" s="14" t="str">
        <x:v>Проверить исправление</x:v>
      </x:c>
      <x:c r="F24" s="14" t="str">
        <x:v>2026-08-20</x:v>
      </x:c>
      <x:c r="G24" s="14" t="str">
        <x:v>гипотеза</x:v>
      </x:c>
      <x:c r="H24" s="14" t="str">
        <x:v>hyp-demo-ai</x:v>
      </x:c>
      <x:c r="I24" s="14" t="str">
        <x:v>Расшифровка звонков</x:v>
      </x:c>
      <x:c r="J24" s="14" t="str">
        <x:v>сформулирована</x:v>
      </x:c>
      <x:c r="K24" s="14" t="str">
        <x:v>Подготовить эксперимент</x:v>
      </x:c>
      <x:c r="L24" s="14" t="str">
        <x:v>2026-08-25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</x:row>
    <x:row r="27" ht="16.5" customHeight="1">
      <x:c r="A27" s="24" t="str">
        <x:v>Продукты системы</x:v>
      </x:c>
      <x:c r="B27" s="24"/>
      <x:c r="C27" s="24"/>
      <x:c r="D27" s="24"/>
      <x:c r="E27" s="24"/>
      <x:c r="F27" s="24"/>
      <x:c r="G27" s="24" t="str">
        <x:v>Вложенные процессы</x:v>
      </x:c>
      <x:c r="H27" s="24"/>
      <x:c r="I27" s="24"/>
      <x:c r="J27" s="24"/>
      <x:c r="K27" s="24"/>
      <x:c r="L27" s="24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</x:row>
    <x:row r="28" ht="16.5" customHeight="1">
      <x:c r="A28" s="12" t="str">
        <x:v>product_id</x:v>
      </x:c>
      <x:c r="B28" s="12" t="str">
        <x:v>продукт</x:v>
      </x:c>
      <x:c r="C28" s="12" t="str">
        <x:v>определение</x:v>
      </x:c>
      <x:c r="D28" s="12" t="str">
        <x:v>критерий приёмки</x:v>
      </x:c>
      <x:c r="E28" s="12" t="str">
        <x:v>владелец</x:v>
      </x:c>
      <x:c r="F28" s="12" t="str">
        <x:v>статус</x:v>
      </x:c>
      <x:c r="G28" s="12" t="str">
        <x:v>process_id</x:v>
      </x:c>
      <x:c r="H28" s="12" t="str">
        <x:v>процесс</x:v>
      </x:c>
      <x:c r="I28" s="12" t="str">
        <x:v>цель</x:v>
      </x:c>
      <x:c r="J28" s="12" t="str">
        <x:v>статус</x:v>
      </x:c>
      <x:c r="K28" s="12" t="str">
        <x:v>владелец</x:v>
      </x:c>
      <x:c r="L28" s="12" t="str">
        <x:v>просмотр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</x:row>
    <x:row r="29" ht="31.5" customHeight="1">
      <x:c r="A29" s="14" t="str">
        <x:v>prd-demo-qualified-lead</x:v>
      </x:c>
      <x:c r="B29" s="14" t="str">
        <x:v>Квалифицированный лид</x:v>
      </x:c>
      <x:c r="C29" s="14" t="str">
        <x:v>Лид, соответствующий критериям</x:v>
      </x:c>
      <x:c r="D29" s="14" t="str">
        <x:v>Все обязательные поля подтверждены</x:v>
      </x:c>
      <x:c r="E29" s="14" t="str">
        <x:v>Владелец ПС</x:v>
      </x:c>
      <x:c r="F29" s="14" t="str">
        <x:v>действует</x:v>
      </x:c>
      <x:c r="G29" s="14" t="str">
        <x:v>prc-demo-call</x:v>
      </x:c>
      <x:c r="H29" s="14" t="str">
        <x:v>Провести звонок</x:v>
      </x:c>
      <x:c r="I29" s="14" t="str">
        <x:v>Получить данные для квалификации</x:v>
      </x:c>
      <x:c r="J29" s="14" t="str">
        <x:v>действует</x:v>
      </x:c>
      <x:c r="K29" s="14" t="str">
        <x:v>Руководитель продаж</x:v>
      </x:c>
      <x:c r="L29" s="14" t="str">
        <x:v>Выбрать в selector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</x:row>
    <x:row r="32" ht="16.5" customHeight="1">
      <x:c r="A32" s="24" t="str">
        <x:v>Основной объект и жизненный цикл</x:v>
      </x:c>
      <x:c r="B32" s="24"/>
      <x:c r="C32" s="24"/>
      <x:c r="D32" s="24"/>
      <x:c r="E32" s="24"/>
      <x:c r="F32" s="24"/>
      <x:c r="G32" s="24" t="str">
        <x:v>Проверки и BPMN/SVG</x:v>
      </x:c>
      <x:c r="H32" s="24"/>
      <x:c r="I32" s="24"/>
      <x:c r="J32" s="24"/>
      <x:c r="K32" s="24"/>
      <x:c r="L32" s="24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</x:row>
    <x:row r="33" ht="16.5" customHeight="1">
      <x:c r="A33" s="12" t="str">
        <x:v>object_id</x:v>
      </x:c>
      <x:c r="B33" s="12" t="str">
        <x:v>объект</x:v>
      </x:c>
      <x:c r="C33" s="12" t="str">
        <x:v>состояние</x:v>
      </x:c>
      <x:c r="D33" s="12" t="str">
        <x:v>terminal</x:v>
      </x:c>
      <x:c r="E33" s="12" t="str">
        <x:v>разрешённые действия</x:v>
      </x:c>
      <x:c r="F33" s="12" t="str">
        <x:v>источник</x:v>
      </x:c>
      <x:c r="G33" s="12" t="str">
        <x:v>тип</x:v>
      </x:c>
      <x:c r="H33" s="12" t="str">
        <x:v>ID</x:v>
      </x:c>
      <x:c r="I33" s="12" t="str">
        <x:v>статус</x:v>
      </x:c>
      <x:c r="J33" s="12" t="str">
        <x:v>fingerprint</x:v>
      </x:c>
      <x:c r="K33" s="12" t="str">
        <x:v>ссылка</x:v>
      </x:c>
      <x:c r="L33" s="12" t="str">
        <x:v>следующий шаг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</x:row>
    <x:row r="34" ht="31.5" customHeight="1">
      <x:c r="A34" s="14" t="str">
        <x:v>obj-demo-lead</x:v>
      </x:c>
      <x:c r="B34" s="14" t="str">
        <x:v>Лид</x:v>
      </x:c>
      <x:c r="C34" s="14" t="str">
        <x:v>Квалифицирован</x:v>
      </x:c>
      <x:c r="D34" s="14" t="str">
        <x:v>нет</x:v>
      </x:c>
      <x:c r="E34" s="14" t="str">
        <x:v>Передать в продажи</x:v>
      </x:c>
      <x:c r="F34" s="14" t="str">
        <x:v>Регламент квалификации</x:v>
      </x:c>
      <x:c r="G34" s="14" t="str">
        <x:v>BPMN/SVG</x:v>
      </x:c>
      <x:c r="H34" s="14" t="str">
        <x:v>bld-demo-process</x:v>
      </x:c>
      <x:c r="I34" s="14" t="str">
        <x:v>готова к просмотру</x:v>
      </x:c>
      <x:c r="J34" s="14" t="str">
        <x:v>sha256:demo</x:v>
      </x:c>
      <x:c r="K34" s="14" t="str">
        <x:v>Открыть SVG</x:v>
      </x:c>
      <x:c r="L34" s="14" t="str">
        <x:v>Проверить в Camunda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</x:row>
  </x:sheetData>
  <x:mergeCells>
    <x:mergeCell ref="A1:L1"/>
    <x:mergeCell ref="A2:L2"/>
    <x:mergeCell ref="A7:E7"/>
    <x:mergeCell ref="G7:L7"/>
    <x:mergeCell ref="A12:F12"/>
    <x:mergeCell ref="G12:L12"/>
    <x:mergeCell ref="A17:G17"/>
    <x:mergeCell ref="A22:F22"/>
    <x:mergeCell ref="G22:L22"/>
    <x:mergeCell ref="A27:F27"/>
    <x:mergeCell ref="G27:L27"/>
    <x:mergeCell ref="A32:F32"/>
    <x:mergeCell ref="G32:L32"/>
  </x:mergeCells>
  <x:dataValidations count="3">
    <x:dataValidation type="list" sqref="B3">
      <x:formula1>selector_demo_versions</x:formula1>
    </x:dataValidation>
    <x:dataValidation type="list" sqref="B4">
      <x:formula1>selector_demo_systems</x:formula1>
    </x:dataValidation>
    <x:dataValidation type="list" sqref="B5">
      <x:formula1>selector_demo_processes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</x:cols>
  <x:sheetData>
    <x:row r="1" ht="25.5" customHeight="1">
      <x:c r="A1" s="16" t="str">
        <x:v>Диаграммы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</x:row>
    <x:row r="2" ht="22.5" customHeight="1">
      <x:c r="A2" s="18" t="str">
        <x:v>Лист канонической модели v0.3: Диаграммы.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</x:row>
    <x:row r="4" ht="16.5" customHeight="1">
      <x:c r="A4" s="12" t="str">
        <x:v>diagram_id</x:v>
      </x:c>
      <x:c r="B4" s="12" t="str">
        <x:v>process_id</x:v>
      </x:c>
      <x:c r="C4" s="25" t="str">
        <x:v>process_selector</x:v>
      </x:c>
      <x:c r="D4" s="12" t="str">
        <x:v>version_id</x:v>
      </x:c>
      <x:c r="E4" s="25" t="str">
        <x:v>version_selector</x:v>
      </x:c>
      <x:c r="F4" s="12" t="str">
        <x:v>projection_build_id</x:v>
      </x:c>
      <x:c r="G4" s="12" t="str">
        <x:v>projection_kind</x:v>
      </x:c>
      <x:c r="H4" s="12" t="str">
        <x:v>readiness_status</x:v>
      </x:c>
      <x:c r="I4" s="12" t="str">
        <x:v>built_at</x:v>
      </x:c>
      <x:c r="J4" s="12" t="str">
        <x:v>model_fingerprint</x:v>
      </x:c>
      <x:c r="K4" s="25" t="str">
        <x:v>bpmn_url</x:v>
      </x:c>
      <x:c r="L4" s="25" t="str">
        <x:v>bpmn_sha256</x:v>
      </x:c>
      <x:c r="M4" s="25" t="str">
        <x:v>svg_url</x:v>
      </x:c>
      <x:c r="N4" s="25" t="str">
        <x:v>svg_sha256</x:v>
      </x:c>
      <x:c r="O4" s="25" t="str">
        <x:v>deployed_environment</x:v>
      </x:c>
      <x:c r="P4" s="25" t="str">
        <x:v>deployed_at</x:v>
      </x:c>
      <x:c r="Q4" s="12" t="str">
        <x:v>source_id</x:v>
      </x:c>
      <x:c r="R4" s="25" t="str">
        <x:v>source_selector</x:v>
      </x:c>
      <x:c r="S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