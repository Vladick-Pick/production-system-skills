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5"/>
    <sheet state="visible" name="Система" sheetId="2" r:id="rId6"/>
    <sheet state="visible" name="Схема шаблона" sheetId="3" r:id="rId7"/>
    <sheet state="visible" name="Источники" sheetId="4" r:id="rId8"/>
    <sheet state="visible" name="Версии" sheetId="5" r:id="rId9"/>
    <sheet state="visible" name="Позиции" sheetId="6" r:id="rId10"/>
    <sheet state="visible" name="Назначения" sheetId="7" r:id="rId11"/>
    <sheet state="visible" name="Процессы" sheetId="8" r:id="rId12"/>
    <sheet state="visible" name="Действия" sheetId="9" r:id="rId13"/>
    <sheet state="visible" name="Связи действий" sheetId="10" r:id="rId14"/>
    <sheet state="visible" name="Объекты" sheetId="11" r:id="rId15"/>
    <sheet state="visible" name="Состояния" sheetId="12" r:id="rId16"/>
    <sheet state="visible" name="Переходы" sheetId="13" r:id="rId17"/>
    <sheet state="visible" name="Элементы модели" sheetId="14" r:id="rId18"/>
    <sheet state="visible" name="Контракты" sheetId="15" r:id="rId19"/>
    <sheet state="visible" name="Связи модели" sheetId="16" r:id="rId20"/>
    <sheet state="visible" name="Проверки" sheetId="17" r:id="rId21"/>
    <sheet state="visible" name="Реестр процессов" sheetId="18" r:id="rId22"/>
    <sheet state="visible" name="Рабочая панель" sheetId="19" r:id="rId23"/>
    <sheet state="visible" name="Диаграммы" sheetId="20" r:id="rId24"/>
    <sheet state="visible" name="Проекция draw.io" sheetId="21" r:id="rId25"/>
  </sheets>
  <definedNames>
    <definedName hidden="1" localSheetId="2" name="_xlnm._FilterDatabase">'Схема шаблона'!$A$4:$G$39</definedName>
    <definedName hidden="1" localSheetId="3" name="_xlnm._FilterDatabase">'Источники'!$A$4:$L$204</definedName>
    <definedName hidden="1" localSheetId="4" name="_xlnm._FilterDatabase">'Версии'!$A$4:$M$104</definedName>
    <definedName hidden="1" localSheetId="5" name="_xlnm._FilterDatabase">'Позиции'!$A$4:$L$204</definedName>
    <definedName hidden="1" localSheetId="6" name="_xlnm._FilterDatabase">'Назначения'!$A$4:$I$204</definedName>
    <definedName hidden="1" localSheetId="7" name="_xlnm._FilterDatabase">'Процессы'!$A$4:$V$204</definedName>
    <definedName hidden="1" localSheetId="8" name="_xlnm._FilterDatabase">'Действия'!$A$4:$Z$304</definedName>
    <definedName hidden="1" localSheetId="9" name="_xlnm._FilterDatabase">'Связи действий'!$A$4:$V$304</definedName>
    <definedName hidden="1" localSheetId="10" name="_xlnm._FilterDatabase">'Объекты'!$A$4:$M$204</definedName>
    <definedName hidden="1" localSheetId="11" name="_xlnm._FilterDatabase">'Состояния'!$A$4:$M$304</definedName>
    <definedName hidden="1" localSheetId="12" name="_xlnm._FilterDatabase">'Переходы'!$A$4:$Q$304</definedName>
    <definedName hidden="1" localSheetId="13" name="_xlnm._FilterDatabase">'Элементы модели'!$A$4:$Q$304</definedName>
    <definedName hidden="1" localSheetId="14" name="_xlnm._FilterDatabase">'Контракты'!$A$4:$Q$104</definedName>
    <definedName hidden="1" localSheetId="15" name="_xlnm._FilterDatabase">'Связи модели'!$A$4:$K$304</definedName>
    <definedName hidden="1" localSheetId="17" name="_xlnm._FilterDatabase">'Реестр процессов'!$A$4:$T$204</definedName>
    <definedName hidden="1" localSheetId="19" name="_xlnm._FilterDatabase">'Диаграммы'!$A$4:$S$104</definedName>
  </definedNames>
  <calcPr/>
</workbook>
</file>

<file path=xl/sharedStrings.xml><?xml version="1.0" encoding="utf-8"?>
<sst xmlns="http://schemas.openxmlformats.org/spreadsheetml/2006/main" count="1126" uniqueCount="789">
  <si>
    <t>Схема связей шаблона</t>
  </si>
  <si>
    <t>Универсальный шаблон канонической модели производственной системы</t>
  </si>
  <si>
    <t>Система — центр настройки шаблона</t>
  </si>
  <si>
    <t>Источники</t>
  </si>
  <si>
    <t>Рабочий инструмент для системного описания любой производственной системы: от продукта и контрактов до процессов, действий, состояний, данных и исполнения.</t>
  </si>
  <si>
    <t>Реестр оснований модели. Каждое существенное утверждение ссылается на источник и уровень его авторитетности.</t>
  </si>
  <si>
    <t>Эта карта отвечает на вопрос «какой столбец с чем связан». Порядок действий задаётся «Связями действий», а производная схема — листами «Диаграммы» и «Проекция draw.io».</t>
  </si>
  <si>
    <t>1. Как заполнять</t>
  </si>
  <si>
    <t>Жёлтый заголовок — обязательное поле. ID стабилен и не переиспользуется. Выбирайте связанные сущности только из выпадающих списков; основание фиксируйте в source_id.</t>
  </si>
  <si>
    <t>Здесь задаются производственные системы, продукты и все допустимые значения. Остальные листы получают отсюда выпадающие списки и проверки внешних ключей.</t>
  </si>
  <si>
    <t>Все внешние ключи выбираются из центральных списков ID листа «Система». Свободный ввод запрещён проверкой данных.</t>
  </si>
  <si>
    <t>Производственные системы</t>
  </si>
  <si>
    <t>1</t>
  </si>
  <si>
    <t>ID источника
source_id *</t>
  </si>
  <si>
    <t>ID связи</t>
  </si>
  <si>
    <t>ID системы
system_id *</t>
  </si>
  <si>
    <t>Система</t>
  </si>
  <si>
    <t>Название
title *</t>
  </si>
  <si>
    <t>Тип источника
source_type *</t>
  </si>
  <si>
    <t>Ссылка
url</t>
  </si>
  <si>
    <t>Поле-источник</t>
  </si>
  <si>
    <t>Название
system_name *</t>
  </si>
  <si>
    <t>Кардинальность</t>
  </si>
  <si>
    <t>Орг. тег
org_tag</t>
  </si>
  <si>
    <t>Поле-назначение</t>
  </si>
  <si>
    <t>Обязательность</t>
  </si>
  <si>
    <t>Проверка</t>
  </si>
  <si>
    <t>Создайте производственную систему и её продукт. Укажите получателя и критерии приёмки продукта.</t>
  </si>
  <si>
    <t>Бизнес-смысл</t>
  </si>
  <si>
    <t>R-01</t>
  </si>
  <si>
    <t>Назначение
purpose *</t>
  </si>
  <si>
    <t>Уровень авторитетности
authority_level *</t>
  </si>
  <si>
    <t>Позиция-владелец
owner_position_id</t>
  </si>
  <si>
    <t>Владелец источника
owner_position_id</t>
  </si>
  <si>
    <t>Текущая версия
current_version_id</t>
  </si>
  <si>
    <t>2</t>
  </si>
  <si>
    <t>Статус знания
knowledge_status *</t>
  </si>
  <si>
    <t>Минимальный статус доверия
trust_floor *</t>
  </si>
  <si>
    <t>Источник
source_id *</t>
  </si>
  <si>
    <t>Действует с
valid_from</t>
  </si>
  <si>
    <t>Актуализировано
last_reviewed *</t>
  </si>
  <si>
    <t>Действует до
valid_to</t>
  </si>
  <si>
    <t>Зарегистрируйте решения владельца, регламенты, живые системы, встречи и гипотезы.</t>
  </si>
  <si>
    <t>Система.owner_position_id</t>
  </si>
  <si>
    <t>Следующий аудит
next_audit</t>
  </si>
  <si>
    <t>3</t>
  </si>
  <si>
    <t>Последняя проверка
last_checked *</t>
  </si>
  <si>
    <t>Версии</t>
  </si>
  <si>
    <t>Активна
active *</t>
  </si>
  <si>
    <t>многие-к-одному</t>
  </si>
  <si>
    <t>Активен
active *</t>
  </si>
  <si>
    <t>Создайте версию текущей или целевой модели. Принятая версия не редактируется задним числом.</t>
  </si>
  <si>
    <t>Примечания
notes</t>
  </si>
  <si>
    <t>4</t>
  </si>
  <si>
    <t>Позиции</t>
  </si>
  <si>
    <t>Позиции.position_id</t>
  </si>
  <si>
    <t>Опишите ответственность, результат и полномочия. Затем отдельно назначьте людей или AI-агентов.</t>
  </si>
  <si>
    <t>необязательная</t>
  </si>
  <si>
    <t>5</t>
  </si>
  <si>
    <t>FK из Система!AC</t>
  </si>
  <si>
    <t>Объекты и состояния</t>
  </si>
  <si>
    <t>Кто отвечает за систему</t>
  </si>
  <si>
    <t>Опишите объект работы, допустимые состояния и критерии каждого состояния.</t>
  </si>
  <si>
    <t>R-02</t>
  </si>
  <si>
    <t>6</t>
  </si>
  <si>
    <t>ps-001</t>
  </si>
  <si>
    <t>src-001</t>
  </si>
  <si>
    <t>Процессы</t>
  </si>
  <si>
    <t>Система.current_version_id</t>
  </si>
  <si>
    <t>Зафиксируйте цель, триггер, вход, выход, владельца и связь с продуктом.</t>
  </si>
  <si>
    <t>Решение владельца о корневой ПС и продукте</t>
  </si>
  <si>
    <t>Версии.version_id</t>
  </si>
  <si>
    <t>7</t>
  </si>
  <si>
    <t>Действия и связи</t>
  </si>
  <si>
    <t>Привлечение</t>
  </si>
  <si>
    <t>FK из Система!AE</t>
  </si>
  <si>
    <t>Разложите процесс до исполнимых действий; задайте порядок, решения, исключения и возвраты.</t>
  </si>
  <si>
    <t>Модуль Привлечение</t>
  </si>
  <si>
    <t>решение владельца</t>
  </si>
  <si>
    <t>8</t>
  </si>
  <si>
    <t>Какая версия сейчас действует</t>
  </si>
  <si>
    <t>R-03</t>
  </si>
  <si>
    <t>Производить потенциального участника, принятого принимающей стороной и переданного в клуб с согласованным пакетом</t>
  </si>
  <si>
    <t>Действия, связи и диаграммы</t>
  </si>
  <si>
    <t>1 — решение владельца</t>
  </si>
  <si>
    <t>Продукты.system_id</t>
  </si>
  <si>
    <t>принято</t>
  </si>
  <si>
    <t>Система.system_id</t>
  </si>
  <si>
    <t>обязательная</t>
  </si>
  <si>
    <t>FK из Система!W</t>
  </si>
  <si>
    <t>Какая система производит продукт</t>
  </si>
  <si>
    <t>Разложите процесс до исполнимых действий; задайте порядок, решения, исключения и возвраты. Затем создайте diagram_id и проверьте вычисляемую проекцию draw.io.</t>
  </si>
  <si>
    <t>R-04</t>
  </si>
  <si>
    <t>Продукты.recipient_system_id</t>
  </si>
  <si>
    <t>альтернатива позиции</t>
  </si>
  <si>
    <t>Кому передаётся продукт</t>
  </si>
  <si>
    <t>R-05</t>
  </si>
  <si>
    <t>Версии.system_id</t>
  </si>
  <si>
    <t>Версия какой системы</t>
  </si>
  <si>
    <t>R-06</t>
  </si>
  <si>
    <t>Позиции.system_id</t>
  </si>
  <si>
    <t>В какой системе живёт ответственность</t>
  </si>
  <si>
    <t>R-07</t>
  </si>
  <si>
    <t>Назначения.position_id</t>
  </si>
  <si>
    <t>Кто исполняет позицию</t>
  </si>
  <si>
    <t>R-08</t>
  </si>
  <si>
    <t>Процессы.system_id</t>
  </si>
  <si>
    <t>да</t>
  </si>
  <si>
    <t>Контур процесса</t>
  </si>
  <si>
    <t>Подтверждено пользователем в рабочей сессии.</t>
  </si>
  <si>
    <t>R-09</t>
  </si>
  <si>
    <t>Процессы.parent_process_id</t>
  </si>
  <si>
    <t>Процессы.process_id</t>
  </si>
  <si>
    <t>9</t>
  </si>
  <si>
    <t>Элементы и контракты</t>
  </si>
  <si>
    <t>FK из Система!Y</t>
  </si>
  <si>
    <t>Иерархия процессов</t>
  </si>
  <si>
    <t>R-10</t>
  </si>
  <si>
    <t>Подключите регламенты, правила, данные, ИС, интерфейсы, метрики, SLA и межсистемные контракты.</t>
  </si>
  <si>
    <t>Процессы.work_object_id</t>
  </si>
  <si>
    <t>10</t>
  </si>
  <si>
    <t>Проверки</t>
  </si>
  <si>
    <t>Объекты.object_id</t>
  </si>
  <si>
    <t>рекомендуемая</t>
  </si>
  <si>
    <t>Исправьте ошибки целостности и осознанно оставьте только документированные неизвестные.</t>
  </si>
  <si>
    <t>src-002</t>
  </si>
  <si>
    <t>FK из Система!AA</t>
  </si>
  <si>
    <t>Что преобразует процесс</t>
  </si>
  <si>
    <t>Язык систематизации</t>
  </si>
  <si>
    <t>2. Базовые правила модели</t>
  </si>
  <si>
    <t>R-11</t>
  </si>
  <si>
    <t>Процессы.owner_position_id</t>
  </si>
  <si>
    <t>методология</t>
  </si>
  <si>
    <t>Производственная система</t>
  </si>
  <si>
    <t>https://docs.google.com/document/d/1LhAthtkp47jQd5SmnLezPySHplHTwn23lyx02aYeBGY/edit</t>
  </si>
  <si>
    <t>Кто отвечает за результат процесса</t>
  </si>
  <si>
    <t>R-12</t>
  </si>
  <si>
    <t>Процессы.produced_product_id</t>
  </si>
  <si>
    <t>Продукты.product_id</t>
  </si>
  <si>
    <t>3 — регламент / документ</t>
  </si>
  <si>
    <t>Корневой уровень. Она производит продукт для конкретного получателя.</t>
  </si>
  <si>
    <t>FK из Система!X</t>
  </si>
  <si>
    <t>Вклад процесса в продукт</t>
  </si>
  <si>
    <t>Продукт</t>
  </si>
  <si>
    <t>R-13</t>
  </si>
  <si>
    <t>Не просто результат, а объект передачи с критериями приёмки принимающей стороной.</t>
  </si>
  <si>
    <t>Действия.process_id</t>
  </si>
  <si>
    <t>Процесс</t>
  </si>
  <si>
    <t>Воспроизводимое преобразование: триггер → вход → действия → выход.</t>
  </si>
  <si>
    <t>Подпроцесс</t>
  </si>
  <si>
    <t>Тот же процесс, связанный с родительским через parent_process_id.</t>
  </si>
  <si>
    <t>Часть какого процесса</t>
  </si>
  <si>
    <t>Действие</t>
  </si>
  <si>
    <t>R-14</t>
  </si>
  <si>
    <t>Минимальная управляемая единица работы с собственными входом, выходом и ответственной позицией.</t>
  </si>
  <si>
    <t>Действия.responsible_position_id</t>
  </si>
  <si>
    <t>Позиция ≠ человек</t>
  </si>
  <si>
    <t>Ответственность живёт в позиции; конкретный исполнитель хранится в «Назначениях».</t>
  </si>
  <si>
    <t>Регламент ≠ процесс</t>
  </si>
  <si>
    <t>Методологический язык; не инвентаризация конкретной производственной системы.</t>
  </si>
  <si>
    <t>Кто отвечает за действие</t>
  </si>
  <si>
    <t>Регламент, правило, интерфейс и система — элементы модели, связанные с действием или процессом.</t>
  </si>
  <si>
    <t>R-15</t>
  </si>
  <si>
    <t>Текущая модель ≠ целевая модель</t>
  </si>
  <si>
    <t>Действия.execution_element_id</t>
  </si>
  <si>
    <t>Элементы модели.element_id</t>
  </si>
  <si>
    <t>Текущая и целевая модели разделены слоем и версией. Нельзя смешивать факт и замысел в одной строке.</t>
  </si>
  <si>
    <t>FK из Система!AD</t>
  </si>
  <si>
    <t>Через что исполняется действие</t>
  </si>
  <si>
    <t>Статус знания ≠ статус исполнения</t>
  </si>
  <si>
    <t>R-16</t>
  </si>
  <si>
    <t>принято / кандидат / гипотеза / конфликт / устарело / неизвестно показывают качество знания; статус исполнения — реальную операционную практику.</t>
  </si>
  <si>
    <t>Связи действий.from_action_id</t>
  </si>
  <si>
    <t>Живые экземпляры</t>
  </si>
  <si>
    <t>Действия.action_id</t>
  </si>
  <si>
    <t>Карточки сделок, задач и отклонений не хранятся здесь. Этот файл — модель, не журнал операций.</t>
  </si>
  <si>
    <t>условная</t>
  </si>
  <si>
    <t>FK из Система!Z</t>
  </si>
  <si>
    <t>3. Стабильные ID</t>
  </si>
  <si>
    <t>Откуда идёт поток</t>
  </si>
  <si>
    <t>Продукты систем</t>
  </si>
  <si>
    <t>R-17</t>
  </si>
  <si>
    <t>ps-</t>
  </si>
  <si>
    <t>Связи действий.to_action_id</t>
  </si>
  <si>
    <t>Куда идёт поток</t>
  </si>
  <si>
    <t>R-18</t>
  </si>
  <si>
    <t>производственная система</t>
  </si>
  <si>
    <t>Состояния.object_id</t>
  </si>
  <si>
    <t>ID продукта
product_id *</t>
  </si>
  <si>
    <t>Система
system_id *</t>
  </si>
  <si>
    <t>prod-</t>
  </si>
  <si>
    <t>Состояние какого объекта</t>
  </si>
  <si>
    <t>продукт</t>
  </si>
  <si>
    <t>Название продукта
product_name *</t>
  </si>
  <si>
    <t>R-19</t>
  </si>
  <si>
    <t>src-</t>
  </si>
  <si>
    <t>Переходы.from_state_id</t>
  </si>
  <si>
    <t>источник</t>
  </si>
  <si>
    <t>Система-получатель
recipient_system_id</t>
  </si>
  <si>
    <t>ver-</t>
  </si>
  <si>
    <t>Состояния.state_id</t>
  </si>
  <si>
    <t>версия</t>
  </si>
  <si>
    <t>Позиция-получатель
recipient_position_id</t>
  </si>
  <si>
    <t>pos-</t>
  </si>
  <si>
    <t>позиция</t>
  </si>
  <si>
    <t>FK из Система!AB</t>
  </si>
  <si>
    <t>Получатель словами
recipient_description *</t>
  </si>
  <si>
    <t>asg-</t>
  </si>
  <si>
    <t>Исходное состояние</t>
  </si>
  <si>
    <t>назначение</t>
  </si>
  <si>
    <t>Критерии приёмки
acceptance_criteria *</t>
  </si>
  <si>
    <t>R-20</t>
  </si>
  <si>
    <t>Состояние выхода
output_state_id</t>
  </si>
  <si>
    <t>prc-</t>
  </si>
  <si>
    <t>Переходы.to_state_id</t>
  </si>
  <si>
    <t>Контракт
contract_id</t>
  </si>
  <si>
    <t>процесс</t>
  </si>
  <si>
    <t>act-</t>
  </si>
  <si>
    <t>действие</t>
  </si>
  <si>
    <t>edge-</t>
  </si>
  <si>
    <t>Целевое состояние</t>
  </si>
  <si>
    <t>связь действий</t>
  </si>
  <si>
    <t>R-21</t>
  </si>
  <si>
    <t>obj-</t>
  </si>
  <si>
    <t>объект</t>
  </si>
  <si>
    <t>Переходы.action_id</t>
  </si>
  <si>
    <t>st-</t>
  </si>
  <si>
    <t>состояние</t>
  </si>
  <si>
    <t>tr-</t>
  </si>
  <si>
    <t>prod-001</t>
  </si>
  <si>
    <t>переход</t>
  </si>
  <si>
    <t>Действие, вызвавшее переход</t>
  </si>
  <si>
    <t>elm-</t>
  </si>
  <si>
    <t>R-22</t>
  </si>
  <si>
    <t>элемент модели</t>
  </si>
  <si>
    <t>ctr-</t>
  </si>
  <si>
    <t>Контракты.supplier_system_id</t>
  </si>
  <si>
    <t>Потенциальный участник, принятый принимающей стороной и переданный в клуб</t>
  </si>
  <si>
    <t>контракт</t>
  </si>
  <si>
    <t>lnk-</t>
  </si>
  <si>
    <t>смысловая связь</t>
  </si>
  <si>
    <t>dgm-</t>
  </si>
  <si>
    <t>Поставщик продукта</t>
  </si>
  <si>
    <t>R-23</t>
  </si>
  <si>
    <t>Принимающая сторона / клуб</t>
  </si>
  <si>
    <t>Контракты.customer_system_id</t>
  </si>
  <si>
    <t>Принимающая сторона приняла участника; согласованный пакет передан</t>
  </si>
  <si>
    <t>диаграмма процесса</t>
  </si>
  <si>
    <t>Получатель продукта</t>
  </si>
  <si>
    <t>R-24</t>
  </si>
  <si>
    <t>Контракты.product_id</t>
  </si>
  <si>
    <t>4. Критерии готовности одной модели</t>
  </si>
  <si>
    <t>Что передаётся</t>
  </si>
  <si>
    <t>R-25</t>
  </si>
  <si>
    <t>Подтверждённая рамка первой настройки шаблона.</t>
  </si>
  <si>
    <t>Связи модели.from_entity_id</t>
  </si>
  <si>
    <t>✓</t>
  </si>
  <si>
    <t>Система.all_entity_ids</t>
  </si>
  <si>
    <t>FK из Система!V</t>
  </si>
  <si>
    <t>Исходная сущность отношения</t>
  </si>
  <si>
    <t>Есть продукт, получатель и проверяемые критерии приёмки.</t>
  </si>
  <si>
    <t>R-26</t>
  </si>
  <si>
    <t>Связи модели.to_entity_id</t>
  </si>
  <si>
    <t>Каждый процесс имеет триггер, вход, выход, владельца, слой, версию и источник.</t>
  </si>
  <si>
    <t>Критические процессы разложены до действий; порядок и исключения заданы связями.</t>
  </si>
  <si>
    <t>Целевая сущность отношения</t>
  </si>
  <si>
    <t>R-27</t>
  </si>
  <si>
    <t>Состояния объекта и переходы не противоречат входам/выходам действий.</t>
  </si>
  <si>
    <t>*.version_id</t>
  </si>
  <si>
    <t>Позиции отделены от исполнителей; полномочия на решения указаны.</t>
  </si>
  <si>
    <t>обязательная для текущего / целевого слоя</t>
  </si>
  <si>
    <t>Регламенты, данные, ИС, интерфейсы, метрики и SLA связаны с моделью.</t>
  </si>
  <si>
    <t>Нет дублей ID и разорванных внешних ключей; незнание помечено явно.</t>
  </si>
  <si>
    <t>Принятая версия имеет владельца решения и свидетельство принятия.</t>
  </si>
  <si>
    <t>Версионность модели</t>
  </si>
  <si>
    <t>R-28</t>
  </si>
  <si>
    <t>*.source_id</t>
  </si>
  <si>
    <t>Источники.source_id</t>
  </si>
  <si>
    <t>FK из Система!AF</t>
  </si>
  <si>
    <t>Происхождение утверждения</t>
  </si>
  <si>
    <t>R-29</t>
  </si>
  <si>
    <t>Действия.input_object_id</t>
  </si>
  <si>
    <t>Управляемые словари</t>
  </si>
  <si>
    <t>Какой объект поступает в действие</t>
  </si>
  <si>
    <t>R-30</t>
  </si>
  <si>
    <t>Для каждого моделируемого процесса задана диаграмма; узлы и связи имеют стабильные ID, а актуальность схемы контролируется автоматически.</t>
  </si>
  <si>
    <t>Действия.output_object_id</t>
  </si>
  <si>
    <t>Статус знания
knowledge_status</t>
  </si>
  <si>
    <t>5. Навигация по листам</t>
  </si>
  <si>
    <t>Какой объект создаёт или изменяет действие</t>
  </si>
  <si>
    <t>R-31</t>
  </si>
  <si>
    <t>Действия.linked_process_id</t>
  </si>
  <si>
    <t>для подпроцесса</t>
  </si>
  <si>
    <t>На какой процесс ведёт узел подпроцесса</t>
  </si>
  <si>
    <t>R-32</t>
  </si>
  <si>
    <t>Действия.lane_position_id</t>
  </si>
  <si>
    <t>Слой модели
model_layer</t>
  </si>
  <si>
    <t>Явное переопределение дорожки</t>
  </si>
  <si>
    <t>Статус исполнения
execution_status</t>
  </si>
  <si>
    <t>R-33</t>
  </si>
  <si>
    <t>Статус жизненного цикла
lifecycle_status</t>
  </si>
  <si>
    <t>Диаграммы.process_id</t>
  </si>
  <si>
    <t>Тип действия
action_type</t>
  </si>
  <si>
    <t>Тип связи действий
action_link_type</t>
  </si>
  <si>
    <t>Конфигурация систем, продуктов, словарей и центральных списков ID.</t>
  </si>
  <si>
    <t>Режим исполнения
performer_mode</t>
  </si>
  <si>
    <t>Какой процесс визуализирует диаграмма</t>
  </si>
  <si>
    <t>R-34</t>
  </si>
  <si>
    <t>Схема шаблона</t>
  </si>
  <si>
    <t>Тип элемента
element_type</t>
  </si>
  <si>
    <t>Диаграммы.version_id</t>
  </si>
  <si>
    <t>Явная карта внешних ключей, кардинальности и проверок связей.</t>
  </si>
  <si>
    <t>Тип источника
source_type</t>
  </si>
  <si>
    <t>Источники / Версии</t>
  </si>
  <si>
    <t>Тип отношения
relation_type</t>
  </si>
  <si>
    <t>Происхождение знания и неизменяемые снимки текущей / целевой модели.</t>
  </si>
  <si>
    <t>Да / нет
yes_no</t>
  </si>
  <si>
    <t>Позиции / Назначения</t>
  </si>
  <si>
    <t>Статус назначения
assignment_status</t>
  </si>
  <si>
    <t>Приоритет
priority</t>
  </si>
  <si>
    <t>Организационная ответственность и конкретные исполнители.</t>
  </si>
  <si>
    <t>Какой снимок модели визуализируется</t>
  </si>
  <si>
    <t>R-35</t>
  </si>
  <si>
    <t>Процессы / Действия / Связи действий / Диаграммы</t>
  </si>
  <si>
    <t>Проекция draw.io.element_id</t>
  </si>
  <si>
    <t>Тип объекта
object_type</t>
  </si>
  <si>
    <t>один-к-одному</t>
  </si>
  <si>
    <t>Тип триггера перехода
transition_trigger_type</t>
  </si>
  <si>
    <t>action_id / edge_id / производный event/lane ID</t>
  </si>
  <si>
    <t>Декомпозиция, исполнимая логика, ветвления и конфигурация производных схем.</t>
  </si>
  <si>
    <t>Тип версии
version_type</t>
  </si>
  <si>
    <t>проверяется генератором</t>
  </si>
  <si>
    <t>Статус версии
version_status</t>
  </si>
  <si>
    <t>Объекты / Состояния / Переходы</t>
  </si>
  <si>
    <t>Стабильная идентичность элементов draw.io</t>
  </si>
  <si>
    <t>Жизненный цикл объекта работы.</t>
  </si>
  <si>
    <t>Авторитетность источника
source_authority</t>
  </si>
  <si>
    <t>Элементы модели / Контракты / Связи модели</t>
  </si>
  <si>
    <t>Тип исполнителя
assignment_performer_type</t>
  </si>
  <si>
    <t>Правила, средства, метрики, интерфейсы и межсистемные отношения.</t>
  </si>
  <si>
    <t>all_entity_ids</t>
  </si>
  <si>
    <t>Проверки / Реестр процессов / Рабочая панель</t>
  </si>
  <si>
    <t>Контроль качества, управленческий обзор и паспорт выбранного процесса.</t>
  </si>
  <si>
    <t>Проекция draw.io</t>
  </si>
  <si>
    <t>system_ids</t>
  </si>
  <si>
    <t>product_ids</t>
  </si>
  <si>
    <t>Вычисляемый машинный экспорт выбранной диаграммы: дорожки, события, узлы и стрелки со стабильными ID.</t>
  </si>
  <si>
    <t>process_ids</t>
  </si>
  <si>
    <t>action_ids</t>
  </si>
  <si>
    <t>object_ids</t>
  </si>
  <si>
    <t>state_ids</t>
  </si>
  <si>
    <t>position_ids</t>
  </si>
  <si>
    <t>element_ids</t>
  </si>
  <si>
    <t>version_ids</t>
  </si>
  <si>
    <t>source_ids</t>
  </si>
  <si>
    <t>contract_ids</t>
  </si>
  <si>
    <t>assignment_ids</t>
  </si>
  <si>
    <t>action_edge_ids</t>
  </si>
  <si>
    <t>transition_ids</t>
  </si>
  <si>
    <t>model_link_ids</t>
  </si>
  <si>
    <t>diagram_ids</t>
  </si>
  <si>
    <t>текущая</t>
  </si>
  <si>
    <t>исполняется</t>
  </si>
  <si>
    <t>черновик</t>
  </si>
  <si>
    <t>работа</t>
  </si>
  <si>
    <t>последовательность</t>
  </si>
  <si>
    <t>человек</t>
  </si>
  <si>
    <t>регламент</t>
  </si>
  <si>
    <t>производит</t>
  </si>
  <si>
    <t>назначен</t>
  </si>
  <si>
    <t>P0</t>
  </si>
  <si>
    <t>объект работы</t>
  </si>
  <si>
    <t>модель процессов</t>
  </si>
  <si>
    <t>кандидат</t>
  </si>
  <si>
    <t>целевая</t>
  </si>
  <si>
    <t>не исполняется</t>
  </si>
  <si>
    <t>решение</t>
  </si>
  <si>
    <t>условие</t>
  </si>
  <si>
    <t>ИИ-агент</t>
  </si>
  <si>
    <t>правило</t>
  </si>
  <si>
    <t>живая система</t>
  </si>
  <si>
    <t>потребляет</t>
  </si>
  <si>
    <t>нет</t>
  </si>
  <si>
    <t>P1</t>
  </si>
  <si>
    <t>данные</t>
  </si>
  <si>
    <t>событие</t>
  </si>
  <si>
    <t>комплект технологии</t>
  </si>
  <si>
    <t>2 — живая система</t>
  </si>
  <si>
    <t>гипотеза</t>
  </si>
  <si>
    <t>уточняется</t>
  </si>
  <si>
    <t>действует</t>
  </si>
  <si>
    <t>передача</t>
  </si>
  <si>
    <t>ветвление</t>
  </si>
  <si>
    <t>автоматизация</t>
  </si>
  <si>
    <t>поставляет</t>
  </si>
  <si>
    <t>не закреплён</t>
  </si>
  <si>
    <t>P2</t>
  </si>
  <si>
    <t>вход</t>
  </si>
  <si>
    <t>конфликт</t>
  </si>
  <si>
    <t>не применимо</t>
  </si>
  <si>
    <t>заменено</t>
  </si>
  <si>
    <t>контроль</t>
  </si>
  <si>
    <t>исключение</t>
  </si>
  <si>
    <t>смешанный</t>
  </si>
  <si>
    <t>информационная система</t>
  </si>
  <si>
    <t>является частью</t>
  </si>
  <si>
    <t>завершён</t>
  </si>
  <si>
    <t>P3</t>
  </si>
  <si>
    <t>выход</t>
  </si>
  <si>
    <t>4 — дашборд / модель</t>
  </si>
  <si>
    <t>устарело</t>
  </si>
  <si>
    <t>выведено</t>
  </si>
  <si>
    <t>возврат</t>
  </si>
  <si>
    <t>интерфейс исполнения</t>
  </si>
  <si>
    <t>встреча</t>
  </si>
  <si>
    <t>владеет</t>
  </si>
  <si>
    <t>документ</t>
  </si>
  <si>
    <t>5 — интервью / встреча</t>
  </si>
  <si>
    <t>неизвестно</t>
  </si>
  <si>
    <t>подпроцесс</t>
  </si>
  <si>
    <t>метрика</t>
  </si>
  <si>
    <t>кейс</t>
  </si>
  <si>
    <t>измеряется</t>
  </si>
  <si>
    <t>ресурс</t>
  </si>
  <si>
    <t>6 — предположение</t>
  </si>
  <si>
    <t>норматив</t>
  </si>
  <si>
    <t>анализ</t>
  </si>
  <si>
    <t>источник истины</t>
  </si>
  <si>
    <t>уровень сервиса (SLA)</t>
  </si>
  <si>
    <t>находится в состоянии</t>
  </si>
  <si>
    <t>регулируется</t>
  </si>
  <si>
    <t>материал</t>
  </si>
  <si>
    <t>Неизменяемые версии текущей и целевой модели. Изменение принятой модели оформляется новой версией.</t>
  </si>
  <si>
    <t>ID версии
version_id *</t>
  </si>
  <si>
    <t>Производственная система
system_id *</t>
  </si>
  <si>
    <t>Тип версии
version_type *</t>
  </si>
  <si>
    <t>Метка версии
version_label *</t>
  </si>
  <si>
    <t>Служебные центральные списки ID находятся в скрытых столбцах V:AL. Они рассчитываются из реестров и являются единственным источником для проверок внешних ключей.</t>
  </si>
  <si>
    <t>Слой модели
model_layer *</t>
  </si>
  <si>
    <t>Статус версии
version_status *</t>
  </si>
  <si>
    <t>Действует с
effective_from</t>
  </si>
  <si>
    <t>Кем принята
accepted_by_position_id</t>
  </si>
  <si>
    <t>Свидетельство принятия
acceptance_evidence</t>
  </si>
  <si>
    <t>Предыдущая версия
predecessor_version_id</t>
  </si>
  <si>
    <t>Нужна миграция
migration_required *</t>
  </si>
  <si>
    <t>Словари схем draw.io</t>
  </si>
  <si>
    <t>Русские значения используются в выпадающих списках; технические ключи в заголовках и правилах отображения сохраняют однозначную машинную интерпретацию.</t>
  </si>
  <si>
    <t>Тип диаграммы
diagram_type</t>
  </si>
  <si>
    <t>Нотация
diagram_notation</t>
  </si>
  <si>
    <t>Направление
diagram_direction</t>
  </si>
  <si>
    <t>Дорожки
diagram_lane_mode</t>
  </si>
  <si>
    <t>Статус синхронизации
diagram_sync_status</t>
  </si>
  <si>
    <t>схема процесса</t>
  </si>
  <si>
    <t>блок-схема</t>
  </si>
  <si>
    <t>слева направо</t>
  </si>
  <si>
    <t>по позициям</t>
  </si>
  <si>
    <t>актуальна</t>
  </si>
  <si>
    <t>карта взаимодействий</t>
  </si>
  <si>
    <t>BPMN — упрощённая</t>
  </si>
  <si>
    <t>сверху вниз</t>
  </si>
  <si>
    <t>без дорожек</t>
  </si>
  <si>
    <t>требует обновления</t>
  </si>
  <si>
    <t>карта состояний</t>
  </si>
  <si>
    <t>кросс-функциональная</t>
  </si>
  <si>
    <t>не сгенерирована</t>
  </si>
  <si>
    <t>Правила отображения действий и связей в draw.io</t>
  </si>
  <si>
    <t>Эта таблица — контракт компилятора схем: значение модели однозначно превращается в фигуру или линию; ручная геометрия не является источником истины.</t>
  </si>
  <si>
    <t>Значение модели</t>
  </si>
  <si>
    <t>Ответственность и полномочия в системе. Позиция не равна конкретному человеку.</t>
  </si>
  <si>
    <t>Ключ формы draw.io</t>
  </si>
  <si>
    <t>Фигура</t>
  </si>
  <si>
    <t>Правило</t>
  </si>
  <si>
    <t>Значение связи</t>
  </si>
  <si>
    <t>ID позиции
position_id *</t>
  </si>
  <si>
    <t>Ключ линии draw.io</t>
  </si>
  <si>
    <t>Вид линии</t>
  </si>
  <si>
    <t>Название позиции
position_name *</t>
  </si>
  <si>
    <t>Ответственность
responsibility *</t>
  </si>
  <si>
    <t>task</t>
  </si>
  <si>
    <t>Ожидаемый результат
expected_result *</t>
  </si>
  <si>
    <t>скруглённый прямоугольник</t>
  </si>
  <si>
    <t>Полномочия
authority</t>
  </si>
  <si>
    <t>Исполнимая операция</t>
  </si>
  <si>
    <t>Владелец системы
system_owner *</t>
  </si>
  <si>
    <t>sequence</t>
  </si>
  <si>
    <t>сплошная</t>
  </si>
  <si>
    <t>Обычный переход</t>
  </si>
  <si>
    <t>gateway</t>
  </si>
  <si>
    <t>ромб</t>
  </si>
  <si>
    <t>У каждой исходящей ветки есть подпись; не более одной ветки по умолчанию</t>
  </si>
  <si>
    <t>condition</t>
  </si>
  <si>
    <t>сплошная с подписью</t>
  </si>
  <si>
    <t>condition_text обязателен</t>
  </si>
  <si>
    <t>transfer</t>
  </si>
  <si>
    <t>скруглённый прямоугольник с акцентом</t>
  </si>
  <si>
    <t>Смена ответственной позиции или дорожки</t>
  </si>
  <si>
    <t>decision</t>
  </si>
  <si>
    <t>branch_label обязателен</t>
  </si>
  <si>
    <t>control</t>
  </si>
  <si>
    <t>скруглённый прямоугольник с контуром</t>
  </si>
  <si>
    <t>Проверка критерия и свидетельства</t>
  </si>
  <si>
    <t>exception</t>
  </si>
  <si>
    <t>красная пунктирная</t>
  </si>
  <si>
    <t>Обработка отклонения</t>
  </si>
  <si>
    <t>automation</t>
  </si>
  <si>
    <t>скруглённый прямоугольник с маркером</t>
  </si>
  <si>
    <t>Исполняется системой или ИИ-агентом</t>
  </si>
  <si>
    <t>return</t>
  </si>
  <si>
    <t>пунктирная обратная</t>
  </si>
  <si>
    <t>Возврат к предыдущему действию</t>
  </si>
  <si>
    <t>subprocess</t>
  </si>
  <si>
    <t>прямоугольник с двойной рамкой</t>
  </si>
  <si>
    <t>linked_process_id обязателен</t>
  </si>
  <si>
    <t>начало процесса</t>
  </si>
  <si>
    <t>start-event</t>
  </si>
  <si>
    <t>круг</t>
  </si>
  <si>
    <t>Генерируется из стартовой связи: evt-start::&lt;process_id&gt;</t>
  </si>
  <si>
    <t>завершение процесса</t>
  </si>
  <si>
    <t>end-event</t>
  </si>
  <si>
    <t>круг с двойной рамкой</t>
  </si>
  <si>
    <t>Генерируется из финальной связи: evt-end::&lt;process_id&gt;</t>
  </si>
  <si>
    <t>Стабильность draw.io: ID узла = action_id; ID стрелки = edge_id; ID дорожки = lane::&lt;position_id&gt;; старт/финиш = evt-start::&lt;process_id&gt; и evt-end::&lt;process_id&gt;.</t>
  </si>
  <si>
    <t>Назначения</t>
  </si>
  <si>
    <t>Связь позиции с конкретным человеком или AI-агентом на заданный период.</t>
  </si>
  <si>
    <t>ID назначения
assignment_id *</t>
  </si>
  <si>
    <t>Позиция
position_id *</t>
  </si>
  <si>
    <t>Тип исполнителя
performer_type *</t>
  </si>
  <si>
    <t>Исполнитель
performer_name *</t>
  </si>
  <si>
    <t>Назначен с
active_from</t>
  </si>
  <si>
    <t>Назначен до
active_to</t>
  </si>
  <si>
    <t>Статус назначения
assignment_status *</t>
  </si>
  <si>
    <t>Воспроизводимые преобразования объекта работы от триггера и входа к проверяемому выходу.</t>
  </si>
  <si>
    <t>ID процесса
process_id *</t>
  </si>
  <si>
    <t>Родительский процесс
parent_process_id</t>
  </si>
  <si>
    <t>Группа / поток
flow_tag</t>
  </si>
  <si>
    <t>Название процесса
process_name *</t>
  </si>
  <si>
    <t>Цель
goal *</t>
  </si>
  <si>
    <t>Объект работы
work_object_id</t>
  </si>
  <si>
    <t>Триггер старта
trigger *</t>
  </si>
  <si>
    <t>Вход
process_input *</t>
  </si>
  <si>
    <t>Выход
process_output *</t>
  </si>
  <si>
    <t>Начальное состояние
entry_state_id</t>
  </si>
  <si>
    <t>Конечное состояние
exit_state_id</t>
  </si>
  <si>
    <t>Ответственная позиция
owner_position_id *</t>
  </si>
  <si>
    <t>Производимый продукт
produced_product_id</t>
  </si>
  <si>
    <t>Версия
version_id *</t>
  </si>
  <si>
    <t>Статус исполнения
execution_status *</t>
  </si>
  <si>
    <t>Действия</t>
  </si>
  <si>
    <t>Минимальные управляемые единицы работы внутри процесса.</t>
  </si>
  <si>
    <t>ID действия
action_id *</t>
  </si>
  <si>
    <t>Процесс
process_id *</t>
  </si>
  <si>
    <t>Название действия
action_name *</t>
  </si>
  <si>
    <t>Тип действия
action_type *</t>
  </si>
  <si>
    <t>Назначение
purpose</t>
  </si>
  <si>
    <t>Вход
action_input *</t>
  </si>
  <si>
    <t>Выход
action_output *</t>
  </si>
  <si>
    <t>Ответственная позиция
responsible_position_id *</t>
  </si>
  <si>
    <t>Режим исполнения
performer_mode *</t>
  </si>
  <si>
    <t>Механизм / интерфейс
execution_element_id</t>
  </si>
  <si>
    <t>Ожидаемая длительность
expected_duration</t>
  </si>
  <si>
    <t>Входной объект
input_object_id</t>
  </si>
  <si>
    <t>Выходной объект
output_object_id</t>
  </si>
  <si>
    <t>Связанный подпроцесс
linked_process_id</t>
  </si>
  <si>
    <t>Подпись на схеме
diagram_label</t>
  </si>
  <si>
    <t>Показывать на схеме
include_in_diagram *</t>
  </si>
  <si>
    <t>Порядок на схеме
diagram_order</t>
  </si>
  <si>
    <t>Дорожка: переопределение
lane_position_id</t>
  </si>
  <si>
    <t>Связи действий</t>
  </si>
  <si>
    <t>Порядок исполнения, ветвления, возвраты, исключения и контрольные точки.</t>
  </si>
  <si>
    <t>ID связи
edge_id *</t>
  </si>
  <si>
    <t>От действия
from_action_id</t>
  </si>
  <si>
    <t>Тип связи
link_type *</t>
  </si>
  <si>
    <t>К действию
to_action_id</t>
  </si>
  <si>
    <t>Условие
condition_text</t>
  </si>
  <si>
    <t>Принимающая решение позиция
decision_position_id</t>
  </si>
  <si>
    <t>Ожидаемое свидетельство
expected_evidence</t>
  </si>
  <si>
    <t>Стартовая связь
is_entry *</t>
  </si>
  <si>
    <t>Финальная связь
is_terminal *</t>
  </si>
  <si>
    <t>Подпись ветки
branch_label</t>
  </si>
  <si>
    <t>Ветка по умолчанию
is_default *</t>
  </si>
  <si>
    <t>Порядок отрисовки
diagram_order</t>
  </si>
  <si>
    <t>Объекты</t>
  </si>
  <si>
    <t>То, что преобразуется, передаётся, хранится или используется производственной системой.</t>
  </si>
  <si>
    <t>ID объекта
object_id *</t>
  </si>
  <si>
    <t>Название объекта
object_name *</t>
  </si>
  <si>
    <t>Тип объекта
object_type *</t>
  </si>
  <si>
    <t>Определение
definition *</t>
  </si>
  <si>
    <t>Канонический источник данных
canonical_source_element_id</t>
  </si>
  <si>
    <t>Владелец данных
data_owner_position_id</t>
  </si>
  <si>
    <t>Формат / схема
format_or_schema</t>
  </si>
  <si>
    <t>Состояния</t>
  </si>
  <si>
    <t>Набор допустимых состояний объектов для текущей или целевой модели.</t>
  </si>
  <si>
    <t>ID состояния
state_id *</t>
  </si>
  <si>
    <t>Объект
object_id *</t>
  </si>
  <si>
    <t>Название состояния
state_name *</t>
  </si>
  <si>
    <t>Терминальное
terminal *</t>
  </si>
  <si>
    <t>Допустимые действия
allowed_actions_summary</t>
  </si>
  <si>
    <t>Переходы</t>
  </si>
  <si>
    <t>Проверяемые изменения состояния: что перевело объект, при каком условии и с каким свидетельством.</t>
  </si>
  <si>
    <t>ID перехода
transition_id *</t>
  </si>
  <si>
    <t>Из состояния
from_state_id *</t>
  </si>
  <si>
    <t>В состояние
to_state_id *</t>
  </si>
  <si>
    <t>Действие
action_id</t>
  </si>
  <si>
    <t>Тип триггера
trigger_type *</t>
  </si>
  <si>
    <t>Свидетельство перехода
evidence *</t>
  </si>
  <si>
    <t>Переход-исключение
exception_transition_id</t>
  </si>
  <si>
    <t>Элементы модели</t>
  </si>
  <si>
    <t>Регламенты, правила, данные, ИС, интерфейсы, метрики, нормативы, SLA, автоматизации и материалы.</t>
  </si>
  <si>
    <t>ID элемента
element_id *</t>
  </si>
  <si>
    <t>Тип элемента
element_type *</t>
  </si>
  <si>
    <t>Название элемента
element_name *</t>
  </si>
  <si>
    <t>Владелец
owner_position_id</t>
  </si>
  <si>
    <t>Формула / правило
formula_or_rule</t>
  </si>
  <si>
    <t>Единица / формат
unit_or_format</t>
  </si>
  <si>
    <t>Цель / порог
target_or_threshold</t>
  </si>
  <si>
    <t>Контракты</t>
  </si>
  <si>
    <t>Интерфейс между производственными системами: продукт, пакет, критерии приёмки, SLA и возврат.</t>
  </si>
  <si>
    <t>ID контракта
contract_id *</t>
  </si>
  <si>
    <t>Система-поставщик
supplier_system_id *</t>
  </si>
  <si>
    <t>Система-получатель
customer_system_id *</t>
  </si>
  <si>
    <t>Продукт
product_id *</t>
  </si>
  <si>
    <t>Триггер передачи
delivery_trigger *</t>
  </si>
  <si>
    <t>Формат передачи
delivery_format *</t>
  </si>
  <si>
    <t>Пакет данных
data_package</t>
  </si>
  <si>
    <t>SLA
SLA_element_id</t>
  </si>
  <si>
    <t>Возврат / исключение
return_or_exception_path</t>
  </si>
  <si>
    <t>Кто меняет контракт
change_authority_position_id</t>
  </si>
  <si>
    <t>Связи модели</t>
  </si>
  <si>
    <t>Ограниченный набор смысловых связей между сущностями. Порядок действий и переходы состояний ведутся отдельно.</t>
  </si>
  <si>
    <t>ID связи
link_id *</t>
  </si>
  <si>
    <t>От сущности
from_entity_id *</t>
  </si>
  <si>
    <t>Тип отношения
relation_type *</t>
  </si>
  <si>
    <t>К сущности
to_entity_id *</t>
  </si>
  <si>
    <t>Контур системы
scope_system_id</t>
  </si>
  <si>
    <t>Контур процесса
scope_process_id</t>
  </si>
  <si>
    <t>Проверки целостности модели</t>
  </si>
  <si>
    <t>Красные строки блокируют принятие версии; жёлтые требуют осознанного решения владельца модели.</t>
  </si>
  <si>
    <t>Результат пересчитывается из канонических реестров. Ноль означает, что нарушение не найдено.</t>
  </si>
  <si>
    <t>Категория</t>
  </si>
  <si>
    <t>Результат</t>
  </si>
  <si>
    <t>Статус</t>
  </si>
  <si>
    <t>Что сделать</t>
  </si>
  <si>
    <t>Настройка</t>
  </si>
  <si>
    <t>Количество настроенных производственных систем</t>
  </si>
  <si>
    <t>Добавьте хотя бы одну систему</t>
  </si>
  <si>
    <t>Продукты без критериев приёмки</t>
  </si>
  <si>
    <t>Опишите проверяемое принятие продукта получателем</t>
  </si>
  <si>
    <t>ID</t>
  </si>
  <si>
    <t>Дубли ID производственных систем</t>
  </si>
  <si>
    <t>Назначьте уникальные стабильные ID</t>
  </si>
  <si>
    <t>Дубли ID продуктов</t>
  </si>
  <si>
    <t>Дубли ID источников</t>
  </si>
  <si>
    <t>Устраните дубли</t>
  </si>
  <si>
    <t>Дубли ID версий</t>
  </si>
  <si>
    <t>Дубли ID позиций</t>
  </si>
  <si>
    <t>Дубли ID назначений</t>
  </si>
  <si>
    <t>Дубли ID процессов</t>
  </si>
  <si>
    <t>Дубли ID действий</t>
  </si>
  <si>
    <t>Реестр процессов — вычисляемое представление</t>
  </si>
  <si>
    <t>Не заполняйте этот лист вручную. Он собирает читаемый обзор из канонических реестров и показывает неполный паспорт.</t>
  </si>
  <si>
    <t>Источник истины — листы «Процессы», «Действия», «Связи действий», «Переходы», «Позиции», «Диаграммы» и «Система».</t>
  </si>
  <si>
    <t>ID процесса
process_id</t>
  </si>
  <si>
    <t>Производственная система
production_system</t>
  </si>
  <si>
    <t>Родитель
parent_process_id</t>
  </si>
  <si>
    <t>Название
process_name</t>
  </si>
  <si>
    <t>Цель
goal</t>
  </si>
  <si>
    <t>Триггер
trigger</t>
  </si>
  <si>
    <t>Дубли ID связей действий</t>
  </si>
  <si>
    <t>Вход
input</t>
  </si>
  <si>
    <t>Выход
output</t>
  </si>
  <si>
    <t>Владелец
owner_position</t>
  </si>
  <si>
    <t>Действий
action_count</t>
  </si>
  <si>
    <t>Переходов
state_transition_count</t>
  </si>
  <si>
    <t>Слой
model_layer</t>
  </si>
  <si>
    <t>Версия
version_id</t>
  </si>
  <si>
    <t>Исполнение
execution_status</t>
  </si>
  <si>
    <t>Знание
knowledge_status</t>
  </si>
  <si>
    <t>Источник
source_id</t>
  </si>
  <si>
    <t>Полнота
completeness_status</t>
  </si>
  <si>
    <t>Диаграмма
diagram_id</t>
  </si>
  <si>
    <t>Синхронизация схемы
diagram_sync_status</t>
  </si>
  <si>
    <t>Файл draw.io
drawio_url</t>
  </si>
  <si>
    <t>Рабочая панель модели</t>
  </si>
  <si>
    <t>Выберите систему и процесс. Панель собирает паспорт и исполнимую логику без ручного копирования.</t>
  </si>
  <si>
    <t>Название</t>
  </si>
  <si>
    <t>Назначение</t>
  </si>
  <si>
    <t>Дубли ID объектов</t>
  </si>
  <si>
    <t>Критерии приёмки</t>
  </si>
  <si>
    <t>Позиция-владелец</t>
  </si>
  <si>
    <t>Текущая версия</t>
  </si>
  <si>
    <t>Статус знания</t>
  </si>
  <si>
    <t>Цель</t>
  </si>
  <si>
    <t>Триггер</t>
  </si>
  <si>
    <t>Вход</t>
  </si>
  <si>
    <t>Выход</t>
  </si>
  <si>
    <t>Дубли ID состояний</t>
  </si>
  <si>
    <t>Слой</t>
  </si>
  <si>
    <t>Версия</t>
  </si>
  <si>
    <t>Диаграмма</t>
  </si>
  <si>
    <t>Синхронизация</t>
  </si>
  <si>
    <t>Файл</t>
  </si>
  <si>
    <t>Действия выбранного процесса</t>
  </si>
  <si>
    <t>Тип</t>
  </si>
  <si>
    <t>Позиция</t>
  </si>
  <si>
    <t>Режим</t>
  </si>
  <si>
    <t>Дубли ID переходов</t>
  </si>
  <si>
    <t>Переходы состояний выбранного процесса</t>
  </si>
  <si>
    <t>Объект</t>
  </si>
  <si>
    <t>Из состояния</t>
  </si>
  <si>
    <t>В состояние</t>
  </si>
  <si>
    <t>Условие</t>
  </si>
  <si>
    <t>Свидетельство</t>
  </si>
  <si>
    <t>Дубли ID элементов модели</t>
  </si>
  <si>
    <t>Диаграммы процессов</t>
  </si>
  <si>
    <t>Дубли ID контрактов</t>
  </si>
  <si>
    <t>Конфигурация и контроль актуальности схем. Геометрия draw.io является производным представлением реестров «Процессы», «Действия» и «Связи действий».</t>
  </si>
  <si>
    <t>Жёлтый заголовок — обязательное поле. ID диаграммы стабилен. После генерации запишите дату, отпечаток модели и ссылку на файл; статус синхронизации рассчитывается автоматически.</t>
  </si>
  <si>
    <t>ID диаграммы
diagram_id *</t>
  </si>
  <si>
    <t>Название
diagram_name *</t>
  </si>
  <si>
    <t>Тип
diagram_type *</t>
  </si>
  <si>
    <t>Нотация
notation *</t>
  </si>
  <si>
    <t>Направление
direction *</t>
  </si>
  <si>
    <t>Дорожки
lane_mode *</t>
  </si>
  <si>
    <t>Статус жизненного цикла
lifecycle_status *</t>
  </si>
  <si>
    <t>Модель обновлена
model_updated_at</t>
  </si>
  <si>
    <t>Схема сгенерирована
last_generated_at</t>
  </si>
  <si>
    <t>Синхронизация
sync_status</t>
  </si>
  <si>
    <t>Отпечаток генерации
generated_fingerprint</t>
  </si>
  <si>
    <t>Файл draw.io
drawio_file_url</t>
  </si>
  <si>
    <t>Проекция draw.io — вычисляемый экспорт</t>
  </si>
  <si>
    <t>Дубли ID связей модели</t>
  </si>
  <si>
    <t>Выберите diagram_id. Таблица ниже соберёт дорожки, старт/финиш, действия и связи с устойчивыми ID. Этот диапазон читает генератор draw.io; вручную его не редактируют.</t>
  </si>
  <si>
    <t>Контракт ID: узлы используют action_id, стрелки — edge_id, дорожки — lane::&lt;position_id&gt;, события — evt-start/end::&lt;process_id&gt;. Повторная генерация обновляет те же элементы, а не создаёт дубли.</t>
  </si>
  <si>
    <t>Тип записи
record_type</t>
  </si>
  <si>
    <t>ID диаграммы
diagram_id</t>
  </si>
  <si>
    <t>ID элемента
element_id</t>
  </si>
  <si>
    <t>ID родителя
parent_id</t>
  </si>
  <si>
    <t>Подпись
label</t>
  </si>
  <si>
    <t>Ключ формы
shape_key</t>
  </si>
  <si>
    <t>Процессы без обязательного паспорта</t>
  </si>
  <si>
    <t>ID источника
source_id</t>
  </si>
  <si>
    <t>ID цели
target_id</t>
  </si>
  <si>
    <t>Подпись связи
edge_label</t>
  </si>
  <si>
    <t>Позиция дорожки
lane_position_id</t>
  </si>
  <si>
    <t>Порядок
sort_order</t>
  </si>
  <si>
    <t>Связанный процесс
linked_process_id</t>
  </si>
  <si>
    <t>Реестр-источник
source_registry</t>
  </si>
  <si>
    <t>Обновлено
source_updated_at</t>
  </si>
  <si>
    <t>Заполните паспорт процесса</t>
  </si>
  <si>
    <t>Действия без обязательного паспорта</t>
  </si>
  <si>
    <t>Заполните паспорт действия</t>
  </si>
  <si>
    <t>Состояния без объекта</t>
  </si>
  <si>
    <t>Свяжите состояние с объектом</t>
  </si>
  <si>
    <t>Переходы без обязательного паспорта</t>
  </si>
  <si>
    <t>Заполните процесс, объект, состояния и свидетельство</t>
  </si>
  <si>
    <t>Контракты без критериев приёмки</t>
  </si>
  <si>
    <t>Опишите критерии приёмки</t>
  </si>
  <si>
    <t>Связи</t>
  </si>
  <si>
    <t>Смысловые связи без концов или типа</t>
  </si>
  <si>
    <t>Заполните обе сущности и допустимый тип отношения</t>
  </si>
  <si>
    <t>Строки текущего / целевого слоя без версии</t>
  </si>
  <si>
    <t>Назначьте версию каждой строке модели</t>
  </si>
  <si>
    <t>Позиции без ответственности или результата</t>
  </si>
  <si>
    <t>Уточните ответственность и ожидаемый результат</t>
  </si>
  <si>
    <t>Связи без слоя или версии</t>
  </si>
  <si>
    <t>Заполните слой и версию каждой связи</t>
  </si>
  <si>
    <t>Действия без признака показа на схеме</t>
  </si>
  <si>
    <t>Укажите «да» или «нет»</t>
  </si>
  <si>
    <t>Связи без признака показа на схеме</t>
  </si>
  <si>
    <t>Подпроцессы без связанного процесса</t>
  </si>
  <si>
    <t>Заполните linked_process_id</t>
  </si>
  <si>
    <t>Диаграммы</t>
  </si>
  <si>
    <t>Диаграммы без обязательного паспорта</t>
  </si>
  <si>
    <t>Заполните обязательные поля диаграммы</t>
  </si>
  <si>
    <t>Процессы без настройки диаграммы</t>
  </si>
  <si>
    <t>Создайте diagram_id для каждого моделируемого процесса</t>
  </si>
  <si>
    <t>Процессы без стартовой связи</t>
  </si>
  <si>
    <t>Добавьте вход в первое действие</t>
  </si>
  <si>
    <t>Процессы без финальной связи</t>
  </si>
  <si>
    <t>Добавьте выход из последнего действия</t>
  </si>
  <si>
    <t>Решения</t>
  </si>
  <si>
    <t>Ветвления без подписи ветки</t>
  </si>
  <si>
    <t>Подпишите каждую ветку решения</t>
  </si>
  <si>
    <t>Схемы не сгенерированы или требуют обновления</t>
  </si>
  <si>
    <t>Пересоберите draw.io и обновите дату/отпечаток</t>
  </si>
  <si>
    <t>Решения менее чем с двумя исходящими связями</t>
  </si>
  <si>
    <t>Добавьте как минимум две подписанные ветки</t>
  </si>
  <si>
    <t>Решения с несколькими ветками по умолчанию</t>
  </si>
  <si>
    <t>Оставьте не более одной ветки по умолчанию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</si>
</sst>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.mm.yyyy hh:mm"/>
    <numFmt numFmtId="166" formatCode="dd.mm.yyyy"/>
  </numFmts>
  <fonts count="15">
    <font>
      <sz val="11.0"/>
      <color rgb="FF000000"/>
      <name val="Carlito"/>
      <scheme val="minor"/>
    </font>
    <font>
      <b/>
      <sz val="16.0"/>
      <color rgb="FF1F4E78"/>
      <name val="Carlito"/>
    </font>
    <font/>
    <font>
      <sz val="10.0"/>
      <color rgb="FF5F6368"/>
      <name val="Carlito"/>
    </font>
    <font>
      <b/>
      <sz val="11.0"/>
      <color rgb="FF1F4E78"/>
      <name val="Carlito"/>
    </font>
    <font>
      <i/>
      <sz val="9.0"/>
      <color rgb="FF5F6368"/>
      <name val="Carlito"/>
    </font>
    <font>
      <b/>
      <sz val="9.0"/>
      <color rgb="FF202124"/>
      <name val="Carlito"/>
    </font>
    <font>
      <b/>
      <sz val="11.0"/>
      <color rgb="FF202124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rgb="FF137333"/>
      <name val="Carlito"/>
    </font>
    <font>
      <sz val="8.0"/>
      <color rgb="FF5F6368"/>
      <name val="Carlito"/>
    </font>
    <font>
      <b/>
      <color rgb="FF1F2024"/>
      <name val="Carlito"/>
      <scheme val="minor"/>
    </font>
    <font>
      <b/>
      <color rgb="FF1F4D78"/>
      <name val="Carlito"/>
      <scheme val="minor"/>
    </font>
    <font>
      <b/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4F5F7"/>
        <bgColor rgb="FFF4F5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D0D5DD"/>
      </left>
      <top style="thin">
        <color rgb="FFD0D5DD"/>
      </top>
      <bottom style="thin">
        <color rgb="FFD0D5DD"/>
      </bottom>
    </border>
    <border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shrinkToFit="0" vertical="center" wrapText="1"/>
    </xf>
    <xf borderId="0" fillId="3" fontId="3" numFmtId="0" xfId="0" applyAlignment="1" applyFont="1">
      <alignment readingOrder="0" shrinkToFit="0" vertical="center" wrapText="1"/>
    </xf>
    <xf borderId="1" fillId="4" fontId="4" numFmtId="0" xfId="0" applyAlignment="1" applyBorder="1" applyFill="1" applyFont="1">
      <alignment vertical="center"/>
    </xf>
    <xf borderId="0" fillId="5" fontId="5" numFmtId="0" xfId="0" applyAlignment="1" applyFill="1" applyFont="1">
      <alignment shrinkToFit="0" vertical="center" wrapText="1"/>
    </xf>
    <xf borderId="1" fillId="4" fontId="4" numFmtId="0" xfId="0" applyBorder="1" applyFont="1"/>
    <xf borderId="0" fillId="2" fontId="4" numFmtId="0" xfId="0" applyAlignment="1" applyFont="1">
      <alignment horizontal="center" shrinkToFit="0" vertical="top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4" fillId="8" fontId="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readingOrder="0" shrinkToFit="0" vertical="top" wrapText="1"/>
    </xf>
    <xf borderId="4" fillId="3" fontId="8" numFmtId="0" xfId="0" applyAlignment="1" applyBorder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4" fillId="3" fontId="8" numFmtId="0" xfId="0" applyAlignment="1" applyBorder="1" applyFont="1">
      <alignment readingOrder="0" shrinkToFit="0" vertical="top" wrapText="1"/>
    </xf>
    <xf borderId="4" fillId="0" fontId="8" numFmtId="164" xfId="0" applyAlignment="1" applyBorder="1" applyFont="1" applyNumberFormat="1">
      <alignment shrinkToFit="0" vertical="top" wrapText="1"/>
    </xf>
    <xf borderId="4" fillId="3" fontId="8" numFmtId="164" xfId="0" applyAlignment="1" applyBorder="1" applyFont="1" applyNumberForma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Font="1"/>
    <xf borderId="0" fillId="0" fontId="8" numFmtId="164" xfId="0" applyFont="1" applyNumberFormat="1"/>
    <xf borderId="0" fillId="5" fontId="7" numFmtId="0" xfId="0" applyAlignment="1" applyFont="1">
      <alignment shrinkToFit="0" vertical="top" wrapText="1"/>
    </xf>
    <xf borderId="0" fillId="5" fontId="7" numFmtId="0" xfId="0" applyAlignment="1" applyFont="1">
      <alignment readingOrder="0" shrinkToFit="0" vertical="top" wrapText="1"/>
    </xf>
    <xf borderId="4" fillId="6" fontId="7" numFmtId="0" xfId="0" applyBorder="1" applyFont="1"/>
    <xf borderId="4" fillId="0" fontId="8" numFmtId="0" xfId="0" applyBorder="1" applyFont="1"/>
    <xf borderId="4" fillId="6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" fillId="4" fontId="4" numFmtId="0" xfId="0" applyAlignment="1" applyBorder="1" applyFont="1">
      <alignment readingOrder="0" vertical="center"/>
    </xf>
    <xf borderId="0" fillId="7" fontId="10" numFmtId="0" xfId="0" applyAlignment="1" applyFont="1">
      <alignment horizontal="center" shrinkToFit="0" vertical="top" wrapText="1"/>
    </xf>
    <xf borderId="4" fillId="0" fontId="8" numFmtId="0" xfId="0" applyAlignment="1" applyBorder="1" applyFont="1">
      <alignment readingOrder="0" shrinkToFit="0" vertical="top" wrapText="1"/>
    </xf>
    <xf borderId="0" fillId="7" fontId="10" numFmtId="0" xfId="0" applyAlignment="1" applyFont="1">
      <alignment horizontal="center" readingOrder="0" shrinkToFit="0" vertical="top" wrapText="1"/>
    </xf>
    <xf borderId="4" fillId="8" fontId="6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shrinkToFit="0" vertical="top" wrapText="1"/>
    </xf>
    <xf borderId="4" fillId="5" fontId="7" numFmtId="0" xfId="0" applyAlignment="1" applyBorder="1" applyFont="1">
      <alignment readingOrder="0" shrinkToFit="0" vertical="top" wrapText="1"/>
    </xf>
    <xf borderId="0" fillId="5" fontId="11" numFmtId="0" xfId="0" applyFont="1"/>
    <xf borderId="0" fillId="5" fontId="11" numFmtId="0" xfId="0" applyAlignment="1" applyFont="1">
      <alignment readingOrder="0"/>
    </xf>
    <xf borderId="4" fillId="5" fontId="8" numFmtId="0" xfId="0" applyAlignment="1" applyBorder="1" applyFont="1">
      <alignment readingOrder="0" shrinkToFit="0" vertical="top" wrapText="1"/>
    </xf>
    <xf borderId="4" fillId="5" fontId="8" numFmtId="0" xfId="0" applyAlignment="1" applyBorder="1" applyFont="1">
      <alignment readingOrder="0" shrinkToFit="0" vertical="top" wrapText="1"/>
    </xf>
    <xf borderId="4" fillId="5" fontId="8" numFmtId="0" xfId="0" applyAlignment="1" applyBorder="1" applyFont="1">
      <alignment shrinkToFit="0" vertical="top" wrapText="1"/>
    </xf>
    <xf borderId="0" fillId="5" fontId="5" numFmtId="0" xfId="0" applyAlignment="1" applyFont="1">
      <alignment readingOrder="0" shrinkToFit="0" vertical="center" wrapText="1"/>
    </xf>
    <xf borderId="1" fillId="4" fontId="4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4" fillId="5" fontId="12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8" fontId="7" numFmtId="0" xfId="0" applyBorder="1" applyFont="1"/>
    <xf borderId="4" fillId="5" fontId="7" numFmtId="0" xfId="0" applyBorder="1" applyFont="1"/>
    <xf borderId="1" fillId="0" fontId="8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shrinkToFit="0" vertical="center" wrapText="1"/>
    </xf>
    <xf borderId="4" fillId="2" fontId="13" numFmtId="0" xfId="0" applyAlignment="1" applyBorder="1" applyFont="1">
      <alignment horizontal="center" readingOrder="0" shrinkToFit="0" vertical="center" wrapText="1"/>
    </xf>
    <xf borderId="0" fillId="0" fontId="9" numFmtId="165" xfId="0" applyFont="1" applyNumberFormat="1"/>
    <xf borderId="0" fillId="2" fontId="13" numFmtId="0" xfId="0" applyAlignment="1" applyFont="1">
      <alignment readingOrder="0" shrinkToFit="0" vertical="center" wrapText="1"/>
    </xf>
    <xf borderId="0" fillId="5" fontId="14" numFmtId="0" xfId="0" applyAlignment="1" applyFont="1">
      <alignment readingOrder="0" shrinkToFit="0" vertical="center" wrapText="1"/>
    </xf>
    <xf borderId="0" fillId="0" fontId="8" numFmtId="166" xfId="0" applyFont="1" applyNumberFormat="1"/>
    <xf borderId="0" fillId="5" fontId="14" numFmtId="0" xfId="0" applyAlignment="1" applyFont="1">
      <alignment shrinkToFit="0" vertical="center" wrapText="1"/>
    </xf>
    <xf borderId="0" fillId="0" fontId="9" numFmtId="165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</cellXfs>
  <cellStyles count="1">
    <cellStyle xfId="0" name="Normal" builtinId="0"/>
  </cellStyles>
  <dxfs count="5">
    <dxf>
      <font>
        <b/>
      </font>
      <fill>
        <patternFill patternType="solid">
          <fgColor rgb="FFF0F1F4"/>
          <bgColor rgb="FFF0F1F4"/>
        </patternFill>
      </fill>
      <border/>
    </dxf>
    <dxf>
      <font>
        <b/>
      </font>
      <fill>
        <patternFill patternType="solid">
          <fgColor rgb="FFFBE8E6"/>
          <bgColor rgb="FFFBE8E6"/>
        </patternFill>
      </fill>
      <border/>
    </dxf>
    <dxf>
      <font>
        <b/>
      </font>
      <fill>
        <patternFill patternType="solid">
          <fgColor rgb="FFFFF1CC"/>
          <bgColor rgb="FFFFF1CC"/>
        </patternFill>
      </fill>
      <border/>
    </dxf>
    <dxf>
      <font>
        <b/>
      </font>
      <fill>
        <patternFill patternType="solid">
          <fgColor rgb="FFD9EAF7"/>
          <bgColor rgb="FFD9EAF7"/>
        </patternFill>
      </fill>
      <border/>
    </dxf>
    <dxf>
      <font>
        <b/>
      </font>
      <fill>
        <patternFill patternType="solid">
          <fgColor rgb="FFE1EFD9"/>
          <bgColor rgb="FFE1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63"/>
    <col customWidth="1" min="2" max="2" width="34.5"/>
    <col customWidth="1" min="3" max="3" width="31.13"/>
    <col customWidth="1" min="4" max="8" width="13.38"/>
    <col customWidth="1" min="9" max="26" width="8.63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3"/>
    </row>
    <row r="2" ht="22.5" customHeight="1">
      <c r="A2" s="4" t="s">
        <v>4</v>
      </c>
    </row>
    <row r="4" ht="18.75" customHeight="1">
      <c r="A4" s="6" t="s">
        <v>7</v>
      </c>
      <c r="B4" s="2"/>
      <c r="C4" s="2"/>
      <c r="D4" s="2"/>
      <c r="E4" s="2"/>
      <c r="F4" s="2"/>
      <c r="G4" s="2"/>
      <c r="H4" s="3"/>
    </row>
    <row r="5">
      <c r="A5" s="9" t="s">
        <v>12</v>
      </c>
      <c r="B5" s="12" t="s">
        <v>16</v>
      </c>
      <c r="C5" s="14" t="s">
        <v>27</v>
      </c>
    </row>
    <row r="6">
      <c r="A6" s="9" t="s">
        <v>35</v>
      </c>
      <c r="B6" s="12" t="s">
        <v>3</v>
      </c>
      <c r="C6" s="14" t="s">
        <v>42</v>
      </c>
    </row>
    <row r="7">
      <c r="A7" s="9" t="s">
        <v>45</v>
      </c>
      <c r="B7" s="12" t="s">
        <v>47</v>
      </c>
      <c r="C7" s="14" t="s">
        <v>51</v>
      </c>
    </row>
    <row r="8">
      <c r="A8" s="9" t="s">
        <v>53</v>
      </c>
      <c r="B8" s="12" t="s">
        <v>54</v>
      </c>
      <c r="C8" s="14" t="s">
        <v>56</v>
      </c>
    </row>
    <row r="9">
      <c r="A9" s="9" t="s">
        <v>58</v>
      </c>
      <c r="B9" s="12" t="s">
        <v>60</v>
      </c>
      <c r="C9" s="14" t="s">
        <v>62</v>
      </c>
    </row>
    <row r="10">
      <c r="A10" s="9" t="s">
        <v>64</v>
      </c>
      <c r="B10" s="12" t="s">
        <v>67</v>
      </c>
      <c r="C10" s="14" t="s">
        <v>69</v>
      </c>
    </row>
    <row r="11">
      <c r="A11" s="9" t="s">
        <v>72</v>
      </c>
      <c r="B11" s="12" t="s">
        <v>73</v>
      </c>
      <c r="C11" s="14" t="s">
        <v>76</v>
      </c>
    </row>
    <row r="12">
      <c r="A12" s="9" t="s">
        <v>79</v>
      </c>
      <c r="B12" s="18" t="s">
        <v>83</v>
      </c>
      <c r="C12" s="22" t="s">
        <v>91</v>
      </c>
    </row>
    <row r="13">
      <c r="A13" s="9" t="s">
        <v>113</v>
      </c>
      <c r="B13" s="12" t="s">
        <v>114</v>
      </c>
      <c r="C13" s="14" t="s">
        <v>118</v>
      </c>
    </row>
    <row r="14">
      <c r="A14" s="9" t="s">
        <v>120</v>
      </c>
      <c r="B14" s="12" t="s">
        <v>121</v>
      </c>
      <c r="C14" s="14" t="s">
        <v>124</v>
      </c>
    </row>
    <row r="16" ht="18.75" customHeight="1">
      <c r="A16" s="6" t="s">
        <v>129</v>
      </c>
      <c r="B16" s="2"/>
      <c r="C16" s="2"/>
      <c r="D16" s="2"/>
      <c r="E16" s="2"/>
      <c r="F16" s="2"/>
      <c r="G16" s="2"/>
      <c r="H16" s="3"/>
    </row>
    <row r="17">
      <c r="A17" s="25" t="s">
        <v>133</v>
      </c>
      <c r="B17" s="14" t="s">
        <v>140</v>
      </c>
    </row>
    <row r="18">
      <c r="A18" s="25" t="s">
        <v>143</v>
      </c>
      <c r="B18" s="14" t="s">
        <v>145</v>
      </c>
    </row>
    <row r="19">
      <c r="A19" s="25" t="s">
        <v>147</v>
      </c>
      <c r="B19" s="14" t="s">
        <v>148</v>
      </c>
    </row>
    <row r="20">
      <c r="A20" s="25" t="s">
        <v>149</v>
      </c>
      <c r="B20" s="14" t="s">
        <v>150</v>
      </c>
    </row>
    <row r="21" ht="15.75" customHeight="1">
      <c r="A21" s="25" t="s">
        <v>152</v>
      </c>
      <c r="B21" s="14" t="s">
        <v>154</v>
      </c>
    </row>
    <row r="22" ht="15.75" customHeight="1">
      <c r="A22" s="25" t="s">
        <v>156</v>
      </c>
      <c r="B22" s="14" t="s">
        <v>157</v>
      </c>
    </row>
    <row r="23" ht="15.75" customHeight="1">
      <c r="A23" s="25" t="s">
        <v>158</v>
      </c>
      <c r="B23" s="14" t="s">
        <v>161</v>
      </c>
    </row>
    <row r="24" ht="15.75" customHeight="1">
      <c r="A24" s="26" t="s">
        <v>163</v>
      </c>
      <c r="B24" s="22" t="s">
        <v>166</v>
      </c>
    </row>
    <row r="25" ht="15.75" customHeight="1">
      <c r="A25" s="26" t="s">
        <v>169</v>
      </c>
      <c r="B25" s="22" t="s">
        <v>171</v>
      </c>
    </row>
    <row r="26" ht="15.75" customHeight="1">
      <c r="A26" s="25" t="s">
        <v>173</v>
      </c>
      <c r="B26" s="14" t="s">
        <v>175</v>
      </c>
    </row>
    <row r="27" ht="15.75" customHeight="1"/>
    <row r="28" ht="18.75" customHeight="1">
      <c r="A28" s="6" t="s">
        <v>178</v>
      </c>
      <c r="B28" s="2"/>
      <c r="C28" s="2"/>
      <c r="D28" s="2"/>
      <c r="E28" s="2"/>
      <c r="F28" s="2"/>
      <c r="G28" s="2"/>
      <c r="H28" s="3"/>
    </row>
    <row r="29" ht="15.75" customHeight="1">
      <c r="A29" s="27" t="s">
        <v>182</v>
      </c>
      <c r="B29" s="28" t="s">
        <v>186</v>
      </c>
    </row>
    <row r="30" ht="15.75" customHeight="1">
      <c r="A30" s="27" t="s">
        <v>190</v>
      </c>
      <c r="B30" s="28" t="s">
        <v>192</v>
      </c>
    </row>
    <row r="31" ht="15.75" customHeight="1">
      <c r="A31" s="27" t="s">
        <v>195</v>
      </c>
      <c r="B31" s="28" t="s">
        <v>197</v>
      </c>
    </row>
    <row r="32" ht="15.75" customHeight="1">
      <c r="A32" s="27" t="s">
        <v>199</v>
      </c>
      <c r="B32" s="28" t="s">
        <v>201</v>
      </c>
    </row>
    <row r="33" ht="15.75" customHeight="1">
      <c r="A33" s="27" t="s">
        <v>203</v>
      </c>
      <c r="B33" s="28" t="s">
        <v>204</v>
      </c>
    </row>
    <row r="34" ht="15.75" customHeight="1">
      <c r="A34" s="27" t="s">
        <v>207</v>
      </c>
      <c r="B34" s="28" t="s">
        <v>209</v>
      </c>
    </row>
    <row r="35" ht="15.75" customHeight="1">
      <c r="A35" s="27" t="s">
        <v>213</v>
      </c>
      <c r="B35" s="28" t="s">
        <v>216</v>
      </c>
    </row>
    <row r="36" ht="15.75" customHeight="1">
      <c r="A36" s="27" t="s">
        <v>217</v>
      </c>
      <c r="B36" s="28" t="s">
        <v>218</v>
      </c>
    </row>
    <row r="37" ht="15.75" customHeight="1">
      <c r="A37" s="27" t="s">
        <v>219</v>
      </c>
      <c r="B37" s="28" t="s">
        <v>221</v>
      </c>
    </row>
    <row r="38" ht="15.75" customHeight="1">
      <c r="A38" s="27" t="s">
        <v>223</v>
      </c>
      <c r="B38" s="28" t="s">
        <v>224</v>
      </c>
    </row>
    <row r="39" ht="15.75" customHeight="1">
      <c r="A39" s="27" t="s">
        <v>226</v>
      </c>
      <c r="B39" s="28" t="s">
        <v>227</v>
      </c>
    </row>
    <row r="40" ht="15.75" customHeight="1">
      <c r="A40" s="27" t="s">
        <v>228</v>
      </c>
      <c r="B40" s="28" t="s">
        <v>230</v>
      </c>
    </row>
    <row r="41" ht="15.75" customHeight="1">
      <c r="A41" s="27" t="s">
        <v>232</v>
      </c>
      <c r="B41" s="28" t="s">
        <v>234</v>
      </c>
    </row>
    <row r="42" ht="15.75" customHeight="1">
      <c r="A42" s="27" t="s">
        <v>235</v>
      </c>
      <c r="B42" s="28" t="s">
        <v>238</v>
      </c>
    </row>
    <row r="43" ht="15.75" customHeight="1">
      <c r="A43" s="27" t="s">
        <v>239</v>
      </c>
      <c r="B43" s="28" t="s">
        <v>240</v>
      </c>
    </row>
    <row r="44" ht="15.75" customHeight="1">
      <c r="A44" s="29" t="s">
        <v>241</v>
      </c>
      <c r="B44" s="30" t="s">
        <v>247</v>
      </c>
    </row>
    <row r="45" ht="18.75" customHeight="1">
      <c r="A45" s="31" t="s">
        <v>251</v>
      </c>
      <c r="B45" s="2"/>
      <c r="C45" s="2"/>
      <c r="D45" s="2"/>
      <c r="E45" s="2"/>
      <c r="F45" s="2"/>
      <c r="G45" s="2"/>
      <c r="H45" s="3"/>
    </row>
    <row r="46" ht="15.75" customHeight="1">
      <c r="A46" s="32" t="s">
        <v>256</v>
      </c>
      <c r="B46" s="14" t="s">
        <v>260</v>
      </c>
    </row>
    <row r="47" ht="15.75" customHeight="1">
      <c r="A47" s="32" t="s">
        <v>256</v>
      </c>
      <c r="B47" s="14" t="s">
        <v>263</v>
      </c>
    </row>
    <row r="48" ht="15.75" customHeight="1">
      <c r="A48" s="32" t="s">
        <v>256</v>
      </c>
      <c r="B48" s="14" t="s">
        <v>264</v>
      </c>
    </row>
    <row r="49" ht="15.75" customHeight="1">
      <c r="A49" s="32" t="s">
        <v>256</v>
      </c>
      <c r="B49" s="14" t="s">
        <v>267</v>
      </c>
    </row>
    <row r="50" ht="15.75" customHeight="1">
      <c r="A50" s="32" t="s">
        <v>256</v>
      </c>
      <c r="B50" s="14" t="s">
        <v>269</v>
      </c>
    </row>
    <row r="51" ht="15.75" customHeight="1">
      <c r="A51" s="32" t="s">
        <v>256</v>
      </c>
      <c r="B51" s="14" t="s">
        <v>271</v>
      </c>
    </row>
    <row r="52" ht="15.75" customHeight="1">
      <c r="A52" s="32" t="s">
        <v>256</v>
      </c>
      <c r="B52" s="14" t="s">
        <v>272</v>
      </c>
    </row>
    <row r="53" ht="15.75" customHeight="1">
      <c r="A53" s="32" t="s">
        <v>256</v>
      </c>
      <c r="B53" s="14" t="s">
        <v>273</v>
      </c>
    </row>
    <row r="54" ht="15.75" customHeight="1">
      <c r="A54" s="34" t="s">
        <v>256</v>
      </c>
      <c r="B54" s="22" t="s">
        <v>285</v>
      </c>
    </row>
    <row r="55" ht="18.75" customHeight="1">
      <c r="A55" s="6" t="s">
        <v>288</v>
      </c>
      <c r="B55" s="2"/>
      <c r="C55" s="2"/>
      <c r="D55" s="2"/>
      <c r="E55" s="2"/>
      <c r="F55" s="2"/>
      <c r="G55" s="2"/>
      <c r="H55" s="3"/>
    </row>
    <row r="56" ht="15.75" customHeight="1">
      <c r="A56" s="36" t="s">
        <v>16</v>
      </c>
      <c r="B56" s="15" t="s">
        <v>304</v>
      </c>
    </row>
    <row r="57" ht="15.75" customHeight="1">
      <c r="A57" s="36" t="s">
        <v>308</v>
      </c>
      <c r="B57" s="15" t="s">
        <v>311</v>
      </c>
    </row>
    <row r="58" ht="15.75" customHeight="1">
      <c r="A58" s="36" t="s">
        <v>313</v>
      </c>
      <c r="B58" s="33" t="s">
        <v>315</v>
      </c>
    </row>
    <row r="59" ht="15.75" customHeight="1">
      <c r="A59" s="36" t="s">
        <v>317</v>
      </c>
      <c r="B59" s="15" t="s">
        <v>320</v>
      </c>
    </row>
    <row r="60" ht="15.75" customHeight="1">
      <c r="A60" s="37" t="s">
        <v>323</v>
      </c>
      <c r="B60" s="33" t="s">
        <v>329</v>
      </c>
    </row>
    <row r="61" ht="15.75" customHeight="1">
      <c r="A61" s="36" t="s">
        <v>333</v>
      </c>
      <c r="B61" s="15" t="s">
        <v>335</v>
      </c>
    </row>
    <row r="62" ht="15.75" customHeight="1">
      <c r="A62" s="36" t="s">
        <v>337</v>
      </c>
      <c r="B62" s="15" t="s">
        <v>339</v>
      </c>
    </row>
    <row r="63" ht="15.75" customHeight="1">
      <c r="A63" s="36" t="s">
        <v>341</v>
      </c>
      <c r="B63" s="15" t="s">
        <v>342</v>
      </c>
    </row>
    <row r="64" ht="15.75" customHeight="1">
      <c r="A64" s="37" t="s">
        <v>343</v>
      </c>
      <c r="B64" s="33" t="s">
        <v>346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16:H16"/>
    <mergeCell ref="A28:H28"/>
    <mergeCell ref="A45:H45"/>
    <mergeCell ref="A55:H5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4.5"/>
    <col customWidth="1" min="2" max="3" width="16.63"/>
    <col customWidth="1" min="4" max="4" width="28.88"/>
    <col customWidth="1" min="5" max="5" width="16.63"/>
    <col customWidth="1" min="6" max="7" width="28.88"/>
    <col customWidth="1" min="8" max="12" width="16.63"/>
    <col customWidth="1" min="13" max="13" width="28.88"/>
    <col customWidth="1" min="14" max="19" width="16.63"/>
    <col customWidth="1" min="20" max="21" width="8.63"/>
    <col customWidth="1" hidden="1" min="22" max="38" width="0.38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2.5" customHeight="1">
      <c r="A2" s="4" t="s">
        <v>9</v>
      </c>
    </row>
    <row r="3">
      <c r="A3" s="8" t="s">
        <v>11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9.0" customHeight="1">
      <c r="A4" s="10" t="s">
        <v>15</v>
      </c>
      <c r="B4" s="10" t="s">
        <v>21</v>
      </c>
      <c r="C4" s="13" t="s">
        <v>23</v>
      </c>
      <c r="D4" s="10" t="s">
        <v>30</v>
      </c>
      <c r="E4" s="13" t="s">
        <v>32</v>
      </c>
      <c r="F4" s="13" t="s">
        <v>34</v>
      </c>
      <c r="G4" s="10" t="s">
        <v>36</v>
      </c>
      <c r="H4" s="10" t="s">
        <v>38</v>
      </c>
      <c r="I4" s="10" t="s">
        <v>40</v>
      </c>
      <c r="J4" s="13" t="s">
        <v>44</v>
      </c>
      <c r="K4" s="10" t="s">
        <v>48</v>
      </c>
    </row>
    <row r="5">
      <c r="A5" s="17" t="s">
        <v>65</v>
      </c>
      <c r="B5" s="17" t="s">
        <v>74</v>
      </c>
      <c r="C5" s="17" t="s">
        <v>77</v>
      </c>
      <c r="D5" s="17" t="s">
        <v>82</v>
      </c>
      <c r="E5" s="17"/>
      <c r="F5" s="17"/>
      <c r="G5" s="19" t="s">
        <v>86</v>
      </c>
      <c r="H5" s="17" t="s">
        <v>66</v>
      </c>
      <c r="I5" s="21">
        <v>46234.0</v>
      </c>
      <c r="J5" s="21"/>
      <c r="K5" s="17" t="s">
        <v>107</v>
      </c>
    </row>
    <row r="6">
      <c r="A6" s="23"/>
      <c r="E6" s="23"/>
      <c r="F6" s="23"/>
      <c r="G6" s="23"/>
      <c r="H6" s="23"/>
      <c r="I6" s="24"/>
      <c r="J6" s="24"/>
      <c r="K6" s="23"/>
    </row>
    <row r="7">
      <c r="A7" s="23"/>
      <c r="E7" s="23"/>
      <c r="F7" s="23"/>
      <c r="G7" s="23"/>
      <c r="H7" s="23"/>
      <c r="I7" s="24"/>
      <c r="J7" s="24"/>
      <c r="K7" s="23"/>
    </row>
    <row r="8">
      <c r="A8" s="23"/>
      <c r="E8" s="23"/>
      <c r="F8" s="23"/>
      <c r="G8" s="23"/>
      <c r="H8" s="23"/>
      <c r="I8" s="24"/>
      <c r="J8" s="24"/>
      <c r="K8" s="23"/>
    </row>
    <row r="9">
      <c r="A9" s="23"/>
      <c r="E9" s="23"/>
      <c r="F9" s="23"/>
      <c r="G9" s="23"/>
      <c r="H9" s="23"/>
      <c r="I9" s="24"/>
      <c r="J9" s="24"/>
      <c r="K9" s="23"/>
    </row>
    <row r="10">
      <c r="A10" s="23"/>
      <c r="E10" s="23"/>
      <c r="F10" s="23"/>
      <c r="G10" s="23"/>
      <c r="H10" s="23"/>
      <c r="I10" s="24"/>
      <c r="J10" s="24"/>
      <c r="K10" s="23"/>
    </row>
    <row r="11">
      <c r="A11" s="23"/>
      <c r="E11" s="23"/>
      <c r="F11" s="23"/>
      <c r="G11" s="23"/>
      <c r="H11" s="23"/>
      <c r="I11" s="24"/>
      <c r="J11" s="24"/>
      <c r="K11" s="23"/>
    </row>
    <row r="12">
      <c r="A12" s="23"/>
      <c r="E12" s="23"/>
      <c r="F12" s="23"/>
      <c r="G12" s="23"/>
      <c r="H12" s="23"/>
      <c r="I12" s="24"/>
      <c r="J12" s="24"/>
      <c r="K12" s="23"/>
    </row>
    <row r="13">
      <c r="A13" s="23"/>
      <c r="E13" s="23"/>
      <c r="F13" s="23"/>
      <c r="G13" s="23"/>
      <c r="H13" s="23"/>
      <c r="I13" s="24"/>
      <c r="J13" s="24"/>
      <c r="K13" s="23"/>
    </row>
    <row r="14">
      <c r="A14" s="23"/>
      <c r="E14" s="23"/>
      <c r="F14" s="23"/>
      <c r="G14" s="23"/>
      <c r="H14" s="23"/>
      <c r="I14" s="24"/>
      <c r="J14" s="24"/>
      <c r="K14" s="23"/>
    </row>
    <row r="16">
      <c r="A16" s="8" t="s">
        <v>180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 ht="39.0" customHeight="1">
      <c r="A17" s="10" t="s">
        <v>188</v>
      </c>
      <c r="B17" s="10" t="s">
        <v>189</v>
      </c>
      <c r="C17" s="10" t="s">
        <v>193</v>
      </c>
      <c r="D17" s="13" t="s">
        <v>198</v>
      </c>
      <c r="E17" s="13" t="s">
        <v>202</v>
      </c>
      <c r="F17" s="10" t="s">
        <v>206</v>
      </c>
      <c r="G17" s="10" t="s">
        <v>210</v>
      </c>
      <c r="H17" s="13" t="s">
        <v>212</v>
      </c>
      <c r="I17" s="13" t="s">
        <v>215</v>
      </c>
      <c r="J17" s="10" t="s">
        <v>36</v>
      </c>
      <c r="K17" s="10" t="s">
        <v>38</v>
      </c>
      <c r="L17" s="10" t="s">
        <v>40</v>
      </c>
      <c r="M17" s="13" t="s">
        <v>52</v>
      </c>
    </row>
    <row r="18">
      <c r="A18" s="17" t="s">
        <v>229</v>
      </c>
      <c r="B18" s="17" t="s">
        <v>65</v>
      </c>
      <c r="C18" s="17" t="s">
        <v>237</v>
      </c>
      <c r="D18" s="17"/>
      <c r="E18" s="17"/>
      <c r="F18" s="17" t="s">
        <v>244</v>
      </c>
      <c r="G18" s="17" t="s">
        <v>246</v>
      </c>
      <c r="H18" s="17"/>
      <c r="I18" s="17"/>
      <c r="J18" s="19" t="s">
        <v>86</v>
      </c>
      <c r="K18" s="17" t="s">
        <v>66</v>
      </c>
      <c r="L18" s="21">
        <v>46234.0</v>
      </c>
      <c r="M18" s="17" t="s">
        <v>254</v>
      </c>
    </row>
    <row r="19">
      <c r="A19" s="23"/>
      <c r="B19" s="23"/>
      <c r="D19" s="23"/>
      <c r="E19" s="23"/>
      <c r="H19" s="23"/>
      <c r="I19" s="23"/>
      <c r="J19" s="23"/>
      <c r="K19" s="23"/>
      <c r="L19" s="24"/>
    </row>
    <row r="20">
      <c r="A20" s="23"/>
      <c r="B20" s="23"/>
      <c r="D20" s="23"/>
      <c r="E20" s="23"/>
      <c r="H20" s="23"/>
      <c r="I20" s="23"/>
      <c r="J20" s="23"/>
      <c r="K20" s="23"/>
      <c r="L20" s="24"/>
    </row>
    <row r="21" ht="15.75" customHeight="1">
      <c r="A21" s="23"/>
      <c r="B21" s="23"/>
      <c r="D21" s="23"/>
      <c r="E21" s="23"/>
      <c r="H21" s="23"/>
      <c r="I21" s="23"/>
      <c r="J21" s="23"/>
      <c r="K21" s="23"/>
      <c r="L21" s="24"/>
    </row>
    <row r="22" ht="15.75" customHeight="1">
      <c r="A22" s="23"/>
      <c r="B22" s="23"/>
      <c r="D22" s="23"/>
      <c r="E22" s="23"/>
      <c r="H22" s="23"/>
      <c r="I22" s="23"/>
      <c r="J22" s="23"/>
      <c r="K22" s="23"/>
      <c r="L22" s="24"/>
    </row>
    <row r="23" ht="15.75" customHeight="1">
      <c r="A23" s="23"/>
      <c r="B23" s="23"/>
      <c r="D23" s="23"/>
      <c r="E23" s="23"/>
      <c r="H23" s="23"/>
      <c r="I23" s="23"/>
      <c r="J23" s="23"/>
      <c r="K23" s="23"/>
      <c r="L23" s="24"/>
    </row>
    <row r="24" ht="15.75" customHeight="1">
      <c r="A24" s="23"/>
      <c r="B24" s="23"/>
      <c r="D24" s="23"/>
      <c r="E24" s="23"/>
      <c r="H24" s="23"/>
      <c r="I24" s="23"/>
      <c r="J24" s="23"/>
      <c r="K24" s="23"/>
      <c r="L24" s="24"/>
    </row>
    <row r="25" ht="15.75" customHeight="1">
      <c r="A25" s="23"/>
      <c r="B25" s="23"/>
      <c r="D25" s="23"/>
      <c r="E25" s="23"/>
      <c r="H25" s="23"/>
      <c r="I25" s="23"/>
      <c r="J25" s="23"/>
      <c r="K25" s="23"/>
      <c r="L25" s="24"/>
    </row>
    <row r="26" ht="15.75" customHeight="1">
      <c r="A26" s="23"/>
      <c r="B26" s="23"/>
      <c r="D26" s="23"/>
      <c r="E26" s="23"/>
      <c r="H26" s="23"/>
      <c r="I26" s="23"/>
      <c r="J26" s="23"/>
      <c r="K26" s="23"/>
      <c r="L26" s="24"/>
    </row>
    <row r="27" ht="15.75" customHeight="1">
      <c r="A27" s="23"/>
      <c r="B27" s="23"/>
      <c r="D27" s="23"/>
      <c r="E27" s="23"/>
      <c r="H27" s="23"/>
      <c r="I27" s="23"/>
      <c r="J27" s="23"/>
      <c r="K27" s="23"/>
      <c r="L27" s="24"/>
    </row>
    <row r="28" ht="15.75" customHeight="1"/>
    <row r="29" ht="15.75" customHeight="1"/>
    <row r="30" ht="15.75" customHeight="1">
      <c r="A30" s="8" t="s">
        <v>282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</row>
    <row r="31" ht="15.75" customHeight="1"/>
    <row r="32" ht="39.0" customHeight="1">
      <c r="A32" s="35" t="s">
        <v>287</v>
      </c>
      <c r="B32" s="35" t="s">
        <v>296</v>
      </c>
      <c r="C32" s="35" t="s">
        <v>298</v>
      </c>
      <c r="D32" s="35" t="s">
        <v>300</v>
      </c>
      <c r="E32" s="35" t="s">
        <v>302</v>
      </c>
      <c r="F32" s="35" t="s">
        <v>303</v>
      </c>
      <c r="G32" s="35" t="s">
        <v>305</v>
      </c>
      <c r="H32" s="35" t="s">
        <v>309</v>
      </c>
      <c r="I32" s="35" t="s">
        <v>312</v>
      </c>
      <c r="J32" s="35" t="s">
        <v>314</v>
      </c>
      <c r="K32" s="35" t="s">
        <v>316</v>
      </c>
      <c r="L32" s="35" t="s">
        <v>318</v>
      </c>
      <c r="M32" s="35" t="s">
        <v>319</v>
      </c>
      <c r="N32" s="35" t="s">
        <v>325</v>
      </c>
      <c r="O32" s="35" t="s">
        <v>327</v>
      </c>
      <c r="P32" s="35" t="s">
        <v>330</v>
      </c>
      <c r="Q32" s="35" t="s">
        <v>332</v>
      </c>
      <c r="R32" s="35" t="s">
        <v>336</v>
      </c>
      <c r="S32" s="35" t="s">
        <v>338</v>
      </c>
      <c r="V32" s="38" t="s">
        <v>340</v>
      </c>
      <c r="W32" s="38" t="s">
        <v>344</v>
      </c>
      <c r="X32" s="38" t="s">
        <v>345</v>
      </c>
      <c r="Y32" s="38" t="s">
        <v>347</v>
      </c>
      <c r="Z32" s="38" t="s">
        <v>348</v>
      </c>
      <c r="AA32" s="38" t="s">
        <v>349</v>
      </c>
      <c r="AB32" s="38" t="s">
        <v>350</v>
      </c>
      <c r="AC32" s="38" t="s">
        <v>351</v>
      </c>
      <c r="AD32" s="38" t="s">
        <v>352</v>
      </c>
      <c r="AE32" s="38" t="s">
        <v>353</v>
      </c>
      <c r="AF32" s="38" t="s">
        <v>354</v>
      </c>
      <c r="AG32" s="38" t="s">
        <v>355</v>
      </c>
      <c r="AH32" s="38" t="s">
        <v>356</v>
      </c>
      <c r="AI32" s="38" t="s">
        <v>357</v>
      </c>
      <c r="AJ32" s="38" t="s">
        <v>358</v>
      </c>
      <c r="AK32" s="38" t="s">
        <v>359</v>
      </c>
      <c r="AL32" s="39" t="s">
        <v>360</v>
      </c>
    </row>
    <row r="33" ht="15.75" customHeight="1">
      <c r="A33" s="40" t="s">
        <v>86</v>
      </c>
      <c r="B33" s="40" t="s">
        <v>361</v>
      </c>
      <c r="C33" s="41" t="s">
        <v>362</v>
      </c>
      <c r="D33" s="40" t="s">
        <v>363</v>
      </c>
      <c r="E33" s="40" t="s">
        <v>364</v>
      </c>
      <c r="F33" s="40" t="s">
        <v>365</v>
      </c>
      <c r="G33" s="40" t="s">
        <v>366</v>
      </c>
      <c r="H33" s="40" t="s">
        <v>367</v>
      </c>
      <c r="I33" s="40" t="s">
        <v>78</v>
      </c>
      <c r="J33" s="40" t="s">
        <v>368</v>
      </c>
      <c r="K33" s="41" t="s">
        <v>107</v>
      </c>
      <c r="L33" s="41" t="s">
        <v>369</v>
      </c>
      <c r="M33" s="41" t="s">
        <v>370</v>
      </c>
      <c r="N33" s="40" t="s">
        <v>371</v>
      </c>
      <c r="O33" s="40" t="s">
        <v>218</v>
      </c>
      <c r="P33" s="40" t="s">
        <v>372</v>
      </c>
      <c r="Q33" s="40" t="s">
        <v>363</v>
      </c>
      <c r="R33" s="40" t="s">
        <v>84</v>
      </c>
      <c r="S33" s="40" t="s">
        <v>366</v>
      </c>
      <c r="V33" s="23" t="str">
        <f>IFERROR(__xludf.DUMMYFUNCTION("LET(ids,TOCOL(VSTACK(W33:W232,X33:X232,Y33:Y232,Z33:Z332,AA33:AA232,AB33:AB332,AC33:AC232,AD33:AD332,AE33:AE132,AF33:AF232,AG33:AG132,AH33:AH232,AI33:AI332,AJ33:AJ332,AK33:AK332,AL33:AL132),1),SORT(UNIQUE(FILTER(ids,ids&lt;&gt;""""))))"),"prod-001")</f>
        <v>prod-001</v>
      </c>
      <c r="W33" s="23" t="str">
        <f>IFERROR(__xludf.DUMMYFUNCTION("IFNA(FILTER($A$5:$A$14,$A$5:$A$14&lt;&gt;""""),"""")"),"ps-001")</f>
        <v>ps-001</v>
      </c>
      <c r="X33" s="23" t="str">
        <f>IFERROR(__xludf.DUMMYFUNCTION("IFNA(FILTER($A$18:$A$27,$A$18:$A$27&lt;&gt;""""),"""")"),"prod-001")</f>
        <v>prod-001</v>
      </c>
      <c r="Y33" s="23" t="str">
        <f>IFERROR(__xludf.DUMMYFUNCTION("IFNA(FILTER('Процессы'!$A$5:$A$204,'Процессы'!$A$5:$A$204&lt;&gt;""""),"""")"),"")</f>
        <v/>
      </c>
      <c r="Z33" s="23" t="str">
        <f>IFERROR(__xludf.DUMMYFUNCTION("IFNA(FILTER('Действия'!$A$5:$A$304,'Действия'!$A$5:$A$304&lt;&gt;""""),"""")"),"")</f>
        <v/>
      </c>
      <c r="AA33" s="23" t="str">
        <f>IFERROR(__xludf.DUMMYFUNCTION("IFNA(FILTER('Объекты'!$A$5:$A$204,'Объекты'!$A$5:$A$204&lt;&gt;""""),"""")"),"")</f>
        <v/>
      </c>
      <c r="AB33" s="23" t="str">
        <f>IFERROR(__xludf.DUMMYFUNCTION("IFNA(FILTER('Состояния'!$A$5:$A$304,'Состояния'!$A$5:$A$304&lt;&gt;""""),"""")"),"")</f>
        <v/>
      </c>
      <c r="AC33" s="23" t="str">
        <f>IFERROR(__xludf.DUMMYFUNCTION("IFNA(FILTER('Позиции'!$A$5:$A$204,'Позиции'!$A$5:$A$204&lt;&gt;""""),"""")"),"")</f>
        <v/>
      </c>
      <c r="AD33" s="23" t="str">
        <f>IFERROR(__xludf.DUMMYFUNCTION("IFNA(FILTER('Элементы модели'!$A$5:$A$304,'Элементы модели'!$A$5:$A$304&lt;&gt;""""),"""")"),"")</f>
        <v/>
      </c>
      <c r="AE33" s="23" t="str">
        <f>IFERROR(__xludf.DUMMYFUNCTION("IFNA(FILTER('Версии'!$A$5:$A$104,'Версии'!$A$5:$A$104&lt;&gt;""""),"""")"),"")</f>
        <v/>
      </c>
      <c r="AF33" s="23" t="str">
        <f>IFERROR(__xludf.DUMMYFUNCTION("IFNA(FILTER('Источники'!$A$5:$A$204,'Источники'!$A$5:$A$204&lt;&gt;""""),"""")"),"src-001")</f>
        <v>src-001</v>
      </c>
      <c r="AG33" s="23" t="str">
        <f>IFERROR(__xludf.DUMMYFUNCTION("IFNA(FILTER('Контракты'!$A$5:$A$104,'Контракты'!$A$5:$A$104&lt;&gt;""""),"""")"),"")</f>
        <v/>
      </c>
      <c r="AH33" s="23" t="str">
        <f>IFERROR(__xludf.DUMMYFUNCTION("IFNA(FILTER('Назначения'!$A$5:$A$204,'Назначения'!$A$5:$A$204&lt;&gt;""""),"""")"),"")</f>
        <v/>
      </c>
      <c r="AI33" s="23" t="str">
        <f>IFERROR(__xludf.DUMMYFUNCTION("IFNA(FILTER('Связи действий'!$A$5:$A$304,'Связи действий'!$A$5:$A$304&lt;&gt;""""),"""")"),"")</f>
        <v/>
      </c>
      <c r="AJ33" s="23" t="str">
        <f>IFERROR(__xludf.DUMMYFUNCTION("IFNA(FILTER('Переходы'!$A$5:$A$304,'Переходы'!$A$5:$A$304&lt;&gt;""""),"""")"),"")</f>
        <v/>
      </c>
      <c r="AK33" s="23" t="str">
        <f>IFERROR(__xludf.DUMMYFUNCTION("IFNA(FILTER('Связи модели'!$A$5:$A$304,'Связи модели'!$A$5:$A$304&lt;&gt;""""),"""")"),"")</f>
        <v/>
      </c>
      <c r="AL33" s="23" t="str">
        <f>IFERROR(__xludf.DUMMYFUNCTION("IFNA(FILTER('Диаграммы'!$A$5:$A$104,'Диаграммы'!$A$5:$A$104&lt;&gt;""""),"""")"),"")</f>
        <v/>
      </c>
    </row>
    <row r="34" ht="15.75" customHeight="1">
      <c r="A34" s="40" t="s">
        <v>373</v>
      </c>
      <c r="B34" s="40" t="s">
        <v>374</v>
      </c>
      <c r="C34" s="41" t="s">
        <v>375</v>
      </c>
      <c r="D34" s="40" t="s">
        <v>86</v>
      </c>
      <c r="E34" s="40" t="s">
        <v>376</v>
      </c>
      <c r="F34" s="40" t="s">
        <v>377</v>
      </c>
      <c r="G34" s="40" t="s">
        <v>378</v>
      </c>
      <c r="H34" s="40" t="s">
        <v>379</v>
      </c>
      <c r="I34" s="40" t="s">
        <v>380</v>
      </c>
      <c r="J34" s="40" t="s">
        <v>381</v>
      </c>
      <c r="K34" s="41" t="s">
        <v>382</v>
      </c>
      <c r="L34" s="41" t="s">
        <v>373</v>
      </c>
      <c r="M34" s="41" t="s">
        <v>383</v>
      </c>
      <c r="N34" s="40" t="s">
        <v>384</v>
      </c>
      <c r="O34" s="40" t="s">
        <v>385</v>
      </c>
      <c r="P34" s="40" t="s">
        <v>386</v>
      </c>
      <c r="Q34" s="40" t="s">
        <v>86</v>
      </c>
      <c r="R34" s="40" t="s">
        <v>387</v>
      </c>
      <c r="S34" s="40" t="s">
        <v>378</v>
      </c>
      <c r="V34" s="23" t="str">
        <f>IFERROR(__xludf.DUMMYFUNCTION("""COMPUTED_VALUE"""),"ps-001")</f>
        <v>ps-001</v>
      </c>
      <c r="AF34" s="23" t="str">
        <f>IFERROR(__xludf.DUMMYFUNCTION("""COMPUTED_VALUE"""),"src-002")</f>
        <v>src-002</v>
      </c>
    </row>
    <row r="35" ht="15.75" customHeight="1">
      <c r="A35" s="40" t="s">
        <v>388</v>
      </c>
      <c r="B35" s="42"/>
      <c r="C35" s="41" t="s">
        <v>389</v>
      </c>
      <c r="D35" s="40" t="s">
        <v>390</v>
      </c>
      <c r="E35" s="40" t="s">
        <v>391</v>
      </c>
      <c r="F35" s="40" t="s">
        <v>392</v>
      </c>
      <c r="G35" s="40" t="s">
        <v>393</v>
      </c>
      <c r="H35" s="40" t="s">
        <v>384</v>
      </c>
      <c r="I35" s="40" t="s">
        <v>367</v>
      </c>
      <c r="J35" s="40" t="s">
        <v>394</v>
      </c>
      <c r="K35" s="42"/>
      <c r="L35" s="41" t="s">
        <v>395</v>
      </c>
      <c r="M35" s="41" t="s">
        <v>396</v>
      </c>
      <c r="N35" s="40" t="s">
        <v>397</v>
      </c>
      <c r="O35" s="40" t="s">
        <v>377</v>
      </c>
      <c r="P35" s="42"/>
      <c r="Q35" s="40" t="s">
        <v>390</v>
      </c>
      <c r="R35" s="40" t="s">
        <v>139</v>
      </c>
      <c r="S35" s="42"/>
      <c r="V35" s="23" t="str">
        <f>IFERROR(__xludf.DUMMYFUNCTION("""COMPUTED_VALUE"""),"src-001")</f>
        <v>src-001</v>
      </c>
    </row>
    <row r="36" ht="15.75" customHeight="1">
      <c r="A36" s="40" t="s">
        <v>398</v>
      </c>
      <c r="B36" s="42"/>
      <c r="C36" s="41" t="s">
        <v>399</v>
      </c>
      <c r="D36" s="40" t="s">
        <v>400</v>
      </c>
      <c r="E36" s="40" t="s">
        <v>401</v>
      </c>
      <c r="F36" s="40" t="s">
        <v>402</v>
      </c>
      <c r="G36" s="40" t="s">
        <v>403</v>
      </c>
      <c r="H36" s="40" t="s">
        <v>404</v>
      </c>
      <c r="I36" s="40" t="s">
        <v>132</v>
      </c>
      <c r="J36" s="40" t="s">
        <v>405</v>
      </c>
      <c r="K36" s="42"/>
      <c r="L36" s="41" t="s">
        <v>406</v>
      </c>
      <c r="M36" s="41" t="s">
        <v>407</v>
      </c>
      <c r="N36" s="40" t="s">
        <v>408</v>
      </c>
      <c r="O36" s="40" t="s">
        <v>376</v>
      </c>
      <c r="P36" s="42"/>
      <c r="Q36" s="40" t="s">
        <v>400</v>
      </c>
      <c r="R36" s="40" t="s">
        <v>409</v>
      </c>
      <c r="S36" s="42"/>
      <c r="V36" s="23" t="str">
        <f>IFERROR(__xludf.DUMMYFUNCTION("""COMPUTED_VALUE"""),"src-002")</f>
        <v>src-002</v>
      </c>
    </row>
    <row r="37" ht="15.75" customHeight="1">
      <c r="A37" s="40" t="s">
        <v>410</v>
      </c>
      <c r="B37" s="42"/>
      <c r="C37" s="42"/>
      <c r="D37" s="40" t="s">
        <v>411</v>
      </c>
      <c r="E37" s="40" t="s">
        <v>393</v>
      </c>
      <c r="F37" s="40" t="s">
        <v>412</v>
      </c>
      <c r="G37" s="42"/>
      <c r="H37" s="40" t="s">
        <v>413</v>
      </c>
      <c r="I37" s="40" t="s">
        <v>414</v>
      </c>
      <c r="J37" s="40" t="s">
        <v>415</v>
      </c>
      <c r="K37" s="42"/>
      <c r="L37" s="42"/>
      <c r="M37" s="42"/>
      <c r="N37" s="40" t="s">
        <v>416</v>
      </c>
      <c r="O37" s="42"/>
      <c r="P37" s="42"/>
      <c r="Q37" s="40" t="s">
        <v>411</v>
      </c>
      <c r="R37" s="40" t="s">
        <v>417</v>
      </c>
      <c r="S37" s="42"/>
    </row>
    <row r="38" ht="15.75" customHeight="1">
      <c r="A38" s="40" t="s">
        <v>418</v>
      </c>
      <c r="B38" s="42"/>
      <c r="C38" s="42"/>
      <c r="D38" s="42"/>
      <c r="E38" s="41" t="s">
        <v>419</v>
      </c>
      <c r="F38" s="42"/>
      <c r="G38" s="42"/>
      <c r="H38" s="40" t="s">
        <v>420</v>
      </c>
      <c r="I38" s="40" t="s">
        <v>421</v>
      </c>
      <c r="J38" s="40" t="s">
        <v>422</v>
      </c>
      <c r="K38" s="42"/>
      <c r="L38" s="42"/>
      <c r="M38" s="42"/>
      <c r="N38" s="40" t="s">
        <v>423</v>
      </c>
      <c r="O38" s="42"/>
      <c r="P38" s="42"/>
      <c r="Q38" s="42"/>
      <c r="R38" s="40" t="s">
        <v>424</v>
      </c>
      <c r="S38" s="42"/>
    </row>
    <row r="39" ht="15.75" customHeight="1">
      <c r="A39" s="42"/>
      <c r="B39" s="42"/>
      <c r="C39" s="42"/>
      <c r="D39" s="42"/>
      <c r="E39" s="42"/>
      <c r="F39" s="42"/>
      <c r="G39" s="42"/>
      <c r="H39" s="40" t="s">
        <v>425</v>
      </c>
      <c r="I39" s="40" t="s">
        <v>426</v>
      </c>
      <c r="J39" s="40" t="s">
        <v>427</v>
      </c>
      <c r="K39" s="42"/>
      <c r="L39" s="42"/>
      <c r="M39" s="42"/>
      <c r="N39" s="42"/>
      <c r="O39" s="42"/>
      <c r="P39" s="42"/>
      <c r="Q39" s="42"/>
      <c r="R39" s="42"/>
      <c r="S39" s="42"/>
    </row>
    <row r="40" ht="15.75" customHeight="1">
      <c r="A40" s="42"/>
      <c r="B40" s="42"/>
      <c r="C40" s="42"/>
      <c r="D40" s="42"/>
      <c r="E40" s="42"/>
      <c r="F40" s="42"/>
      <c r="G40" s="42"/>
      <c r="H40" s="40" t="s">
        <v>428</v>
      </c>
      <c r="I40" s="40" t="s">
        <v>388</v>
      </c>
      <c r="J40" s="40" t="s">
        <v>429</v>
      </c>
      <c r="K40" s="42"/>
      <c r="L40" s="42"/>
      <c r="M40" s="42"/>
      <c r="N40" s="42"/>
      <c r="O40" s="42"/>
      <c r="P40" s="42"/>
      <c r="Q40" s="42"/>
      <c r="R40" s="42"/>
      <c r="S40" s="42"/>
    </row>
    <row r="41" ht="15.75" customHeight="1">
      <c r="A41" s="42"/>
      <c r="B41" s="42"/>
      <c r="C41" s="42"/>
      <c r="D41" s="42"/>
      <c r="E41" s="42"/>
      <c r="F41" s="42"/>
      <c r="G41" s="42"/>
      <c r="H41" s="40" t="s">
        <v>393</v>
      </c>
      <c r="I41" s="42"/>
      <c r="J41" s="40" t="s">
        <v>430</v>
      </c>
      <c r="K41" s="42"/>
      <c r="L41" s="42"/>
      <c r="M41" s="42"/>
      <c r="N41" s="42"/>
      <c r="O41" s="42"/>
      <c r="P41" s="42"/>
      <c r="Q41" s="42"/>
      <c r="R41" s="42"/>
      <c r="S41" s="42"/>
    </row>
    <row r="42" ht="15.75" customHeight="1">
      <c r="A42" s="42"/>
      <c r="B42" s="42"/>
      <c r="C42" s="42"/>
      <c r="D42" s="42"/>
      <c r="E42" s="42"/>
      <c r="F42" s="42"/>
      <c r="G42" s="42"/>
      <c r="H42" s="40" t="s">
        <v>431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</row>
    <row r="43" ht="15.75" customHeight="1"/>
    <row r="44" ht="15.75" customHeight="1"/>
    <row r="45" ht="19.5" customHeight="1">
      <c r="A45" s="43" t="s">
        <v>437</v>
      </c>
    </row>
    <row r="46" ht="15.75" customHeight="1"/>
    <row r="47" ht="15.75" customHeight="1"/>
    <row r="48" ht="21.0" customHeight="1">
      <c r="A48" s="44" t="s">
        <v>445</v>
      </c>
      <c r="B48" s="2"/>
      <c r="C48" s="2"/>
      <c r="D48" s="2"/>
      <c r="E48" s="3"/>
    </row>
    <row r="49" ht="31.5" customHeight="1">
      <c r="A49" s="5" t="s">
        <v>446</v>
      </c>
    </row>
    <row r="50" ht="15.75" customHeight="1">
      <c r="A50" s="35" t="s">
        <v>447</v>
      </c>
      <c r="B50" s="35" t="s">
        <v>448</v>
      </c>
      <c r="C50" s="35" t="s">
        <v>449</v>
      </c>
      <c r="D50" s="35" t="s">
        <v>450</v>
      </c>
      <c r="E50" s="35" t="s">
        <v>451</v>
      </c>
    </row>
    <row r="51" ht="15.75" customHeight="1">
      <c r="A51" s="40" t="s">
        <v>452</v>
      </c>
      <c r="B51" s="40" t="s">
        <v>453</v>
      </c>
      <c r="C51" s="41" t="s">
        <v>454</v>
      </c>
      <c r="D51" s="40" t="s">
        <v>455</v>
      </c>
      <c r="E51" s="40" t="s">
        <v>456</v>
      </c>
    </row>
    <row r="52" ht="15.75" customHeight="1">
      <c r="A52" s="40" t="s">
        <v>457</v>
      </c>
      <c r="B52" s="40" t="s">
        <v>458</v>
      </c>
      <c r="C52" s="41" t="s">
        <v>459</v>
      </c>
      <c r="D52" s="40" t="s">
        <v>460</v>
      </c>
      <c r="E52" s="40" t="s">
        <v>461</v>
      </c>
    </row>
    <row r="53" ht="15.75" customHeight="1">
      <c r="A53" s="40" t="s">
        <v>462</v>
      </c>
      <c r="B53" s="41" t="s">
        <v>463</v>
      </c>
      <c r="C53" s="41"/>
      <c r="D53" s="40"/>
      <c r="E53" s="40" t="s">
        <v>464</v>
      </c>
    </row>
    <row r="54" ht="15.75" customHeight="1"/>
    <row r="55" ht="15.75" customHeight="1"/>
    <row r="56" ht="15.75" customHeight="1"/>
    <row r="57" ht="15.75" customHeight="1"/>
    <row r="58" ht="21.0" customHeight="1">
      <c r="A58" s="44" t="s">
        <v>465</v>
      </c>
      <c r="B58" s="2"/>
      <c r="C58" s="2"/>
      <c r="D58" s="2"/>
      <c r="E58" s="2"/>
      <c r="F58" s="2"/>
      <c r="G58" s="2"/>
      <c r="H58" s="2"/>
      <c r="I58" s="3"/>
    </row>
    <row r="59" ht="31.5" customHeight="1">
      <c r="A59" s="5" t="s">
        <v>466</v>
      </c>
    </row>
    <row r="60" ht="15.75" customHeight="1">
      <c r="A60" s="35" t="s">
        <v>467</v>
      </c>
      <c r="B60" s="35" t="s">
        <v>469</v>
      </c>
      <c r="C60" s="35" t="s">
        <v>470</v>
      </c>
      <c r="D60" s="35" t="s">
        <v>471</v>
      </c>
      <c r="F60" s="35" t="s">
        <v>472</v>
      </c>
      <c r="G60" s="35" t="s">
        <v>474</v>
      </c>
      <c r="H60" s="35" t="s">
        <v>475</v>
      </c>
      <c r="I60" s="35" t="s">
        <v>471</v>
      </c>
    </row>
    <row r="61" ht="15.75" customHeight="1">
      <c r="A61" s="40" t="s">
        <v>364</v>
      </c>
      <c r="B61" s="40" t="s">
        <v>478</v>
      </c>
      <c r="C61" s="41" t="s">
        <v>480</v>
      </c>
      <c r="D61" s="40" t="s">
        <v>482</v>
      </c>
      <c r="F61" s="40" t="s">
        <v>365</v>
      </c>
      <c r="G61" s="40" t="s">
        <v>484</v>
      </c>
      <c r="H61" s="41" t="s">
        <v>485</v>
      </c>
      <c r="I61" s="40" t="s">
        <v>486</v>
      </c>
    </row>
    <row r="62" ht="15.75" customHeight="1">
      <c r="A62" s="40" t="s">
        <v>376</v>
      </c>
      <c r="B62" s="40" t="s">
        <v>487</v>
      </c>
      <c r="C62" s="41" t="s">
        <v>488</v>
      </c>
      <c r="D62" s="40" t="s">
        <v>489</v>
      </c>
      <c r="F62" s="40" t="s">
        <v>377</v>
      </c>
      <c r="G62" s="40" t="s">
        <v>490</v>
      </c>
      <c r="H62" s="41" t="s">
        <v>491</v>
      </c>
      <c r="I62" s="40" t="s">
        <v>492</v>
      </c>
    </row>
    <row r="63" ht="15.75" customHeight="1">
      <c r="A63" s="40" t="s">
        <v>391</v>
      </c>
      <c r="B63" s="41" t="s">
        <v>493</v>
      </c>
      <c r="C63" s="41" t="s">
        <v>494</v>
      </c>
      <c r="D63" s="40" t="s">
        <v>495</v>
      </c>
      <c r="F63" s="40" t="s">
        <v>392</v>
      </c>
      <c r="G63" s="41" t="s">
        <v>496</v>
      </c>
      <c r="H63" s="41" t="s">
        <v>491</v>
      </c>
      <c r="I63" s="40" t="s">
        <v>497</v>
      </c>
    </row>
    <row r="64" ht="15.75" customHeight="1">
      <c r="A64" s="40" t="s">
        <v>401</v>
      </c>
      <c r="B64" s="41" t="s">
        <v>498</v>
      </c>
      <c r="C64" s="41" t="s">
        <v>499</v>
      </c>
      <c r="D64" s="40" t="s">
        <v>500</v>
      </c>
      <c r="F64" s="40" t="s">
        <v>402</v>
      </c>
      <c r="G64" s="41" t="s">
        <v>501</v>
      </c>
      <c r="H64" s="41" t="s">
        <v>502</v>
      </c>
      <c r="I64" s="40" t="s">
        <v>503</v>
      </c>
    </row>
    <row r="65" ht="15.75" customHeight="1">
      <c r="A65" s="40" t="s">
        <v>393</v>
      </c>
      <c r="B65" s="41" t="s">
        <v>504</v>
      </c>
      <c r="C65" s="41" t="s">
        <v>505</v>
      </c>
      <c r="D65" s="40" t="s">
        <v>506</v>
      </c>
      <c r="F65" s="40" t="s">
        <v>412</v>
      </c>
      <c r="G65" s="41" t="s">
        <v>507</v>
      </c>
      <c r="H65" s="41" t="s">
        <v>508</v>
      </c>
      <c r="I65" s="40" t="s">
        <v>509</v>
      </c>
    </row>
    <row r="66" ht="15.75" customHeight="1">
      <c r="A66" s="40" t="s">
        <v>419</v>
      </c>
      <c r="B66" s="41" t="s">
        <v>510</v>
      </c>
      <c r="C66" s="41" t="s">
        <v>511</v>
      </c>
      <c r="D66" s="41" t="s">
        <v>512</v>
      </c>
    </row>
    <row r="67" ht="15.75" customHeight="1">
      <c r="A67" s="41" t="s">
        <v>513</v>
      </c>
      <c r="B67" s="41" t="s">
        <v>514</v>
      </c>
      <c r="C67" s="41" t="s">
        <v>515</v>
      </c>
      <c r="D67" s="41" t="s">
        <v>516</v>
      </c>
    </row>
    <row r="68" ht="15.75" customHeight="1">
      <c r="A68" s="41" t="s">
        <v>517</v>
      </c>
      <c r="B68" s="41" t="s">
        <v>518</v>
      </c>
      <c r="C68" s="41" t="s">
        <v>519</v>
      </c>
      <c r="D68" s="41" t="s">
        <v>520</v>
      </c>
    </row>
    <row r="69" ht="15.75" customHeight="1"/>
    <row r="70" ht="31.5" customHeight="1">
      <c r="A70" s="45" t="s">
        <v>521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</sheetData>
  <mergeCells count="11">
    <mergeCell ref="A49:E49"/>
    <mergeCell ref="A58:I58"/>
    <mergeCell ref="A59:I59"/>
    <mergeCell ref="A70:I70"/>
    <mergeCell ref="A1:S1"/>
    <mergeCell ref="A2:S2"/>
    <mergeCell ref="A3:K3"/>
    <mergeCell ref="A16:M16"/>
    <mergeCell ref="A30:S30"/>
    <mergeCell ref="A45:S45"/>
    <mergeCell ref="A48:E48"/>
  </mergeCells>
  <conditionalFormatting sqref="J18:J27">
    <cfRule type="cellIs" dxfId="0" priority="1" stopIfTrue="1" operator="equal">
      <formula>"неизвестно"</formula>
    </cfRule>
  </conditionalFormatting>
  <conditionalFormatting sqref="G5:G14">
    <cfRule type="cellIs" dxfId="0" priority="2" stopIfTrue="1" operator="equal">
      <formula>"неизвестно"</formula>
    </cfRule>
  </conditionalFormatting>
  <conditionalFormatting sqref="J18:J27">
    <cfRule type="cellIs" dxfId="1" priority="3" stopIfTrue="1" operator="equal">
      <formula>"конфликт"</formula>
    </cfRule>
  </conditionalFormatting>
  <conditionalFormatting sqref="G5:G14">
    <cfRule type="cellIs" dxfId="1" priority="4" stopIfTrue="1" operator="equal">
      <formula>"конфликт"</formula>
    </cfRule>
  </conditionalFormatting>
  <conditionalFormatting sqref="J18:J27">
    <cfRule type="cellIs" dxfId="2" priority="5" stopIfTrue="1" operator="equal">
      <formula>"гипотеза"</formula>
    </cfRule>
  </conditionalFormatting>
  <conditionalFormatting sqref="G5:G14">
    <cfRule type="cellIs" dxfId="2" priority="6" stopIfTrue="1" operator="equal">
      <formula>"гипотеза"</formula>
    </cfRule>
  </conditionalFormatting>
  <conditionalFormatting sqref="J18:J27">
    <cfRule type="cellIs" dxfId="3" priority="7" stopIfTrue="1" operator="equal">
      <formula>"кандидат"</formula>
    </cfRule>
  </conditionalFormatting>
  <conditionalFormatting sqref="G5:G14">
    <cfRule type="cellIs" dxfId="3" priority="8" stopIfTrue="1" operator="equal">
      <formula>"кандидат"</formula>
    </cfRule>
  </conditionalFormatting>
  <conditionalFormatting sqref="J18:J27">
    <cfRule type="cellIs" dxfId="4" priority="9" stopIfTrue="1" operator="equal">
      <formula>"принято"</formula>
    </cfRule>
  </conditionalFormatting>
  <conditionalFormatting sqref="G5:G14">
    <cfRule type="cellIs" dxfId="4" priority="10" stopIfTrue="1" operator="equal">
      <formula>"принято"</formula>
    </cfRule>
  </conditionalFormatting>
  <dataValidations>
    <dataValidation type="list" allowBlank="1" showInputMessage="1" showErrorMessage="1" prompt="Система-производитель" sqref="B18:B27">
      <formula1>'Система'!$W$33:$W$232</formula1>
    </dataValidation>
    <dataValidation type="custom" allowBlank="1" showDropDown="1" showInputMessage="1" showErrorMessage="1" prompt="Стабильный ID формата ps-..." sqref="A5:A14">
      <formula1>OR(A5="",REGEXMATCH(A5,"^ps-[A-Za-z0-9._-]+$"))</formula1>
    </dataValidation>
    <dataValidation type="list" allowBlank="1" showInputMessage="1" showErrorMessage="1" prompt="Позиция-владелец" sqref="E5:E14">
      <formula1>'Система'!$AC$33:$AC$232</formula1>
    </dataValidation>
    <dataValidation type="list" allowBlank="1" showInputMessage="1" showErrorMessage="1" prompt="Статус достоверности знания" sqref="G5:G14 J18:J27">
      <formula1>'Система'!$A$33:$A$38</formula1>
    </dataValidation>
    <dataValidation type="list" allowBlank="1" showInputMessage="1" showErrorMessage="1" prompt="Активна ли система" sqref="K5:K14">
      <formula1>'Система'!$K$33:$K$34</formula1>
    </dataValidation>
    <dataValidation type="list" allowBlank="1" showInputMessage="1" showErrorMessage="1" prompt="Действующая версия" sqref="F5:F14">
      <formula1>'Система'!$AE$33:$AE$132</formula1>
    </dataValidation>
    <dataValidation type="custom" allowBlank="1" showDropDown="1" showInputMessage="1" showErrorMessage="1" prompt="Стабильный ID формата prod-..." sqref="A18:A27">
      <formula1>OR(A18="",REGEXMATCH(A18,"^prod-[A-Za-z0-9._-]+$"))</formula1>
    </dataValidation>
    <dataValidation type="list" allowBlank="1" showInputMessage="1" showErrorMessage="1" prompt="Система-получатель" sqref="D18:D27">
      <formula1>'Система'!$W$33:$W$232</formula1>
    </dataValidation>
    <dataValidation type="list" allowBlank="1" showInputMessage="1" showErrorMessage="1" prompt="Позиция-получатель" sqref="E18:E27">
      <formula1>'Система'!$AC$33:$AC$232</formula1>
    </dataValidation>
    <dataValidation type="list" allowBlank="1" showInputMessage="1" showErrorMessage="1" prompt="Источник основания" sqref="H5:H14 K18:K27">
      <formula1>'Система'!$AF$33:$AF$232</formula1>
    </dataValidation>
    <dataValidation type="list" allowBlank="1" showInputMessage="1" showErrorMessage="1" prompt="Контракт передачи" sqref="I18:I27">
      <formula1>'Система'!$AG$33:$AG$132</formula1>
    </dataValidation>
    <dataValidation type="list" allowBlank="1" showInputMessage="1" showErrorMessage="1" prompt="Состояние продукта на выходе" sqref="H18:H27">
      <formula1>'Система'!$AB$33:$AB$332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0"/>
    <col customWidth="1" min="2" max="2" width="24.5"/>
    <col customWidth="1" min="3" max="3" width="16.88"/>
    <col customWidth="1" min="4" max="4" width="24.5"/>
    <col customWidth="1" min="5" max="5" width="14.5"/>
    <col customWidth="1" min="6" max="6" width="16.13"/>
    <col customWidth="1" min="7" max="7" width="32.25"/>
    <col customWidth="1" min="8" max="26" width="8.63"/>
  </cols>
  <sheetData>
    <row r="1" ht="25.5" customHeight="1">
      <c r="A1" s="1" t="s">
        <v>0</v>
      </c>
      <c r="B1" s="2"/>
      <c r="C1" s="2"/>
      <c r="D1" s="2"/>
      <c r="E1" s="2"/>
      <c r="F1" s="2"/>
      <c r="G1" s="3"/>
    </row>
    <row r="2" ht="22.5" customHeight="1">
      <c r="A2" s="5" t="s">
        <v>6</v>
      </c>
    </row>
    <row r="3" ht="19.5" customHeight="1">
      <c r="A3" s="7" t="s">
        <v>10</v>
      </c>
    </row>
    <row r="4" ht="39.0" customHeight="1">
      <c r="A4" s="11" t="s">
        <v>14</v>
      </c>
      <c r="B4" s="11" t="s">
        <v>20</v>
      </c>
      <c r="C4" s="11" t="s">
        <v>22</v>
      </c>
      <c r="D4" s="11" t="s">
        <v>24</v>
      </c>
      <c r="E4" s="11" t="s">
        <v>25</v>
      </c>
      <c r="F4" s="11" t="s">
        <v>26</v>
      </c>
      <c r="G4" s="11" t="s">
        <v>28</v>
      </c>
    </row>
    <row r="5">
      <c r="A5" s="15" t="s">
        <v>29</v>
      </c>
      <c r="B5" s="15" t="s">
        <v>43</v>
      </c>
      <c r="C5" s="16" t="s">
        <v>49</v>
      </c>
      <c r="D5" s="15" t="s">
        <v>55</v>
      </c>
      <c r="E5" s="15" t="s">
        <v>57</v>
      </c>
      <c r="F5" s="15" t="s">
        <v>59</v>
      </c>
      <c r="G5" s="15" t="s">
        <v>61</v>
      </c>
    </row>
    <row r="6">
      <c r="A6" s="15" t="s">
        <v>63</v>
      </c>
      <c r="B6" s="15" t="s">
        <v>68</v>
      </c>
      <c r="C6" s="16" t="s">
        <v>49</v>
      </c>
      <c r="D6" s="15" t="s">
        <v>71</v>
      </c>
      <c r="E6" s="15" t="s">
        <v>57</v>
      </c>
      <c r="F6" s="15" t="s">
        <v>75</v>
      </c>
      <c r="G6" s="15" t="s">
        <v>80</v>
      </c>
    </row>
    <row r="7">
      <c r="A7" s="15" t="s">
        <v>81</v>
      </c>
      <c r="B7" s="15" t="s">
        <v>85</v>
      </c>
      <c r="C7" s="16" t="s">
        <v>49</v>
      </c>
      <c r="D7" s="15" t="s">
        <v>87</v>
      </c>
      <c r="E7" s="15" t="s">
        <v>88</v>
      </c>
      <c r="F7" s="15" t="s">
        <v>89</v>
      </c>
      <c r="G7" s="15" t="s">
        <v>90</v>
      </c>
    </row>
    <row r="8">
      <c r="A8" s="15" t="s">
        <v>92</v>
      </c>
      <c r="B8" s="15" t="s">
        <v>93</v>
      </c>
      <c r="C8" s="16" t="s">
        <v>49</v>
      </c>
      <c r="D8" s="15" t="s">
        <v>87</v>
      </c>
      <c r="E8" s="15" t="s">
        <v>94</v>
      </c>
      <c r="F8" s="15" t="s">
        <v>89</v>
      </c>
      <c r="G8" s="15" t="s">
        <v>95</v>
      </c>
    </row>
    <row r="9">
      <c r="A9" s="15" t="s">
        <v>96</v>
      </c>
      <c r="B9" s="15" t="s">
        <v>97</v>
      </c>
      <c r="C9" s="16" t="s">
        <v>49</v>
      </c>
      <c r="D9" s="15" t="s">
        <v>87</v>
      </c>
      <c r="E9" s="15" t="s">
        <v>88</v>
      </c>
      <c r="F9" s="15" t="s">
        <v>89</v>
      </c>
      <c r="G9" s="15" t="s">
        <v>98</v>
      </c>
    </row>
    <row r="10">
      <c r="A10" s="15" t="s">
        <v>99</v>
      </c>
      <c r="B10" s="15" t="s">
        <v>100</v>
      </c>
      <c r="C10" s="16" t="s">
        <v>49</v>
      </c>
      <c r="D10" s="15" t="s">
        <v>87</v>
      </c>
      <c r="E10" s="15" t="s">
        <v>88</v>
      </c>
      <c r="F10" s="15" t="s">
        <v>89</v>
      </c>
      <c r="G10" s="15" t="s">
        <v>101</v>
      </c>
    </row>
    <row r="11">
      <c r="A11" s="15" t="s">
        <v>102</v>
      </c>
      <c r="B11" s="15" t="s">
        <v>103</v>
      </c>
      <c r="C11" s="16" t="s">
        <v>49</v>
      </c>
      <c r="D11" s="15" t="s">
        <v>55</v>
      </c>
      <c r="E11" s="15" t="s">
        <v>88</v>
      </c>
      <c r="F11" s="15" t="s">
        <v>59</v>
      </c>
      <c r="G11" s="15" t="s">
        <v>104</v>
      </c>
    </row>
    <row r="12">
      <c r="A12" s="15" t="s">
        <v>105</v>
      </c>
      <c r="B12" s="15" t="s">
        <v>106</v>
      </c>
      <c r="C12" s="16" t="s">
        <v>49</v>
      </c>
      <c r="D12" s="15" t="s">
        <v>87</v>
      </c>
      <c r="E12" s="15" t="s">
        <v>88</v>
      </c>
      <c r="F12" s="15" t="s">
        <v>89</v>
      </c>
      <c r="G12" s="15" t="s">
        <v>108</v>
      </c>
    </row>
    <row r="13">
      <c r="A13" s="15" t="s">
        <v>110</v>
      </c>
      <c r="B13" s="15" t="s">
        <v>111</v>
      </c>
      <c r="C13" s="16" t="s">
        <v>49</v>
      </c>
      <c r="D13" s="15" t="s">
        <v>112</v>
      </c>
      <c r="E13" s="15" t="s">
        <v>57</v>
      </c>
      <c r="F13" s="15" t="s">
        <v>115</v>
      </c>
      <c r="G13" s="15" t="s">
        <v>116</v>
      </c>
    </row>
    <row r="14">
      <c r="A14" s="15" t="s">
        <v>117</v>
      </c>
      <c r="B14" s="15" t="s">
        <v>119</v>
      </c>
      <c r="C14" s="16" t="s">
        <v>49</v>
      </c>
      <c r="D14" s="15" t="s">
        <v>122</v>
      </c>
      <c r="E14" s="15" t="s">
        <v>123</v>
      </c>
      <c r="F14" s="15" t="s">
        <v>126</v>
      </c>
      <c r="G14" s="15" t="s">
        <v>127</v>
      </c>
    </row>
    <row r="15">
      <c r="A15" s="15" t="s">
        <v>130</v>
      </c>
      <c r="B15" s="15" t="s">
        <v>131</v>
      </c>
      <c r="C15" s="16" t="s">
        <v>49</v>
      </c>
      <c r="D15" s="15" t="s">
        <v>55</v>
      </c>
      <c r="E15" s="15" t="s">
        <v>88</v>
      </c>
      <c r="F15" s="15" t="s">
        <v>59</v>
      </c>
      <c r="G15" s="15" t="s">
        <v>135</v>
      </c>
    </row>
    <row r="16">
      <c r="A16" s="15" t="s">
        <v>136</v>
      </c>
      <c r="B16" s="15" t="s">
        <v>137</v>
      </c>
      <c r="C16" s="16" t="s">
        <v>49</v>
      </c>
      <c r="D16" s="15" t="s">
        <v>138</v>
      </c>
      <c r="E16" s="15" t="s">
        <v>57</v>
      </c>
      <c r="F16" s="15" t="s">
        <v>141</v>
      </c>
      <c r="G16" s="15" t="s">
        <v>142</v>
      </c>
    </row>
    <row r="17">
      <c r="A17" s="15" t="s">
        <v>144</v>
      </c>
      <c r="B17" s="15" t="s">
        <v>146</v>
      </c>
      <c r="C17" s="16" t="s">
        <v>49</v>
      </c>
      <c r="D17" s="15" t="s">
        <v>112</v>
      </c>
      <c r="E17" s="15" t="s">
        <v>88</v>
      </c>
      <c r="F17" s="15" t="s">
        <v>115</v>
      </c>
      <c r="G17" s="15" t="s">
        <v>151</v>
      </c>
    </row>
    <row r="18">
      <c r="A18" s="15" t="s">
        <v>153</v>
      </c>
      <c r="B18" s="15" t="s">
        <v>155</v>
      </c>
      <c r="C18" s="16" t="s">
        <v>49</v>
      </c>
      <c r="D18" s="15" t="s">
        <v>55</v>
      </c>
      <c r="E18" s="15" t="s">
        <v>88</v>
      </c>
      <c r="F18" s="15" t="s">
        <v>59</v>
      </c>
      <c r="G18" s="15" t="s">
        <v>160</v>
      </c>
    </row>
    <row r="19">
      <c r="A19" s="15" t="s">
        <v>162</v>
      </c>
      <c r="B19" s="15" t="s">
        <v>164</v>
      </c>
      <c r="C19" s="16" t="s">
        <v>49</v>
      </c>
      <c r="D19" s="15" t="s">
        <v>165</v>
      </c>
      <c r="E19" s="15" t="s">
        <v>57</v>
      </c>
      <c r="F19" s="15" t="s">
        <v>167</v>
      </c>
      <c r="G19" s="15" t="s">
        <v>168</v>
      </c>
    </row>
    <row r="20">
      <c r="A20" s="15" t="s">
        <v>170</v>
      </c>
      <c r="B20" s="15" t="s">
        <v>172</v>
      </c>
      <c r="C20" s="16" t="s">
        <v>49</v>
      </c>
      <c r="D20" s="15" t="s">
        <v>174</v>
      </c>
      <c r="E20" s="15" t="s">
        <v>176</v>
      </c>
      <c r="F20" s="15" t="s">
        <v>177</v>
      </c>
      <c r="G20" s="15" t="s">
        <v>179</v>
      </c>
    </row>
    <row r="21" ht="15.75" customHeight="1">
      <c r="A21" s="15" t="s">
        <v>181</v>
      </c>
      <c r="B21" s="15" t="s">
        <v>183</v>
      </c>
      <c r="C21" s="16" t="s">
        <v>49</v>
      </c>
      <c r="D21" s="15" t="s">
        <v>174</v>
      </c>
      <c r="E21" s="15" t="s">
        <v>176</v>
      </c>
      <c r="F21" s="15" t="s">
        <v>177</v>
      </c>
      <c r="G21" s="15" t="s">
        <v>184</v>
      </c>
    </row>
    <row r="22" ht="15.75" customHeight="1">
      <c r="A22" s="15" t="s">
        <v>185</v>
      </c>
      <c r="B22" s="15" t="s">
        <v>187</v>
      </c>
      <c r="C22" s="16" t="s">
        <v>49</v>
      </c>
      <c r="D22" s="15" t="s">
        <v>122</v>
      </c>
      <c r="E22" s="15" t="s">
        <v>88</v>
      </c>
      <c r="F22" s="15" t="s">
        <v>126</v>
      </c>
      <c r="G22" s="15" t="s">
        <v>191</v>
      </c>
    </row>
    <row r="23" ht="15.75" customHeight="1">
      <c r="A23" s="15" t="s">
        <v>194</v>
      </c>
      <c r="B23" s="15" t="s">
        <v>196</v>
      </c>
      <c r="C23" s="16" t="s">
        <v>49</v>
      </c>
      <c r="D23" s="15" t="s">
        <v>200</v>
      </c>
      <c r="E23" s="15" t="s">
        <v>88</v>
      </c>
      <c r="F23" s="15" t="s">
        <v>205</v>
      </c>
      <c r="G23" s="15" t="s">
        <v>208</v>
      </c>
    </row>
    <row r="24" ht="15.75" customHeight="1">
      <c r="A24" s="15" t="s">
        <v>211</v>
      </c>
      <c r="B24" s="15" t="s">
        <v>214</v>
      </c>
      <c r="C24" s="16" t="s">
        <v>49</v>
      </c>
      <c r="D24" s="15" t="s">
        <v>200</v>
      </c>
      <c r="E24" s="15" t="s">
        <v>88</v>
      </c>
      <c r="F24" s="15" t="s">
        <v>205</v>
      </c>
      <c r="G24" s="15" t="s">
        <v>220</v>
      </c>
    </row>
    <row r="25" ht="15.75" customHeight="1">
      <c r="A25" s="15" t="s">
        <v>222</v>
      </c>
      <c r="B25" s="15" t="s">
        <v>225</v>
      </c>
      <c r="C25" s="16" t="s">
        <v>49</v>
      </c>
      <c r="D25" s="15" t="s">
        <v>174</v>
      </c>
      <c r="E25" s="15" t="s">
        <v>57</v>
      </c>
      <c r="F25" s="15" t="s">
        <v>177</v>
      </c>
      <c r="G25" s="15" t="s">
        <v>231</v>
      </c>
    </row>
    <row r="26" ht="15.75" customHeight="1">
      <c r="A26" s="15" t="s">
        <v>233</v>
      </c>
      <c r="B26" s="15" t="s">
        <v>236</v>
      </c>
      <c r="C26" s="16" t="s">
        <v>49</v>
      </c>
      <c r="D26" s="15" t="s">
        <v>87</v>
      </c>
      <c r="E26" s="15" t="s">
        <v>88</v>
      </c>
      <c r="F26" s="15" t="s">
        <v>89</v>
      </c>
      <c r="G26" s="15" t="s">
        <v>242</v>
      </c>
    </row>
    <row r="27" ht="15.75" customHeight="1">
      <c r="A27" s="15" t="s">
        <v>243</v>
      </c>
      <c r="B27" s="15" t="s">
        <v>245</v>
      </c>
      <c r="C27" s="16" t="s">
        <v>49</v>
      </c>
      <c r="D27" s="15" t="s">
        <v>87</v>
      </c>
      <c r="E27" s="15" t="s">
        <v>88</v>
      </c>
      <c r="F27" s="15" t="s">
        <v>89</v>
      </c>
      <c r="G27" s="15" t="s">
        <v>248</v>
      </c>
    </row>
    <row r="28" ht="15.75" customHeight="1">
      <c r="A28" s="15" t="s">
        <v>249</v>
      </c>
      <c r="B28" s="15" t="s">
        <v>250</v>
      </c>
      <c r="C28" s="16" t="s">
        <v>49</v>
      </c>
      <c r="D28" s="15" t="s">
        <v>138</v>
      </c>
      <c r="E28" s="15" t="s">
        <v>88</v>
      </c>
      <c r="F28" s="15" t="s">
        <v>141</v>
      </c>
      <c r="G28" s="15" t="s">
        <v>252</v>
      </c>
    </row>
    <row r="29" ht="15.75" customHeight="1">
      <c r="A29" s="15" t="s">
        <v>253</v>
      </c>
      <c r="B29" s="15" t="s">
        <v>255</v>
      </c>
      <c r="C29" s="16" t="s">
        <v>49</v>
      </c>
      <c r="D29" s="15" t="s">
        <v>257</v>
      </c>
      <c r="E29" s="15" t="s">
        <v>88</v>
      </c>
      <c r="F29" s="15" t="s">
        <v>258</v>
      </c>
      <c r="G29" s="15" t="s">
        <v>259</v>
      </c>
    </row>
    <row r="30" ht="15.75" customHeight="1">
      <c r="A30" s="15" t="s">
        <v>261</v>
      </c>
      <c r="B30" s="15" t="s">
        <v>262</v>
      </c>
      <c r="C30" s="16" t="s">
        <v>49</v>
      </c>
      <c r="D30" s="15" t="s">
        <v>257</v>
      </c>
      <c r="E30" s="15" t="s">
        <v>88</v>
      </c>
      <c r="F30" s="15" t="s">
        <v>258</v>
      </c>
      <c r="G30" s="15" t="s">
        <v>265</v>
      </c>
    </row>
    <row r="31" ht="15.75" customHeight="1">
      <c r="A31" s="15" t="s">
        <v>266</v>
      </c>
      <c r="B31" s="15" t="s">
        <v>268</v>
      </c>
      <c r="C31" s="16" t="s">
        <v>49</v>
      </c>
      <c r="D31" s="15" t="s">
        <v>71</v>
      </c>
      <c r="E31" s="33" t="s">
        <v>270</v>
      </c>
      <c r="F31" s="15" t="s">
        <v>75</v>
      </c>
      <c r="G31" s="15" t="s">
        <v>274</v>
      </c>
    </row>
    <row r="32" ht="15.75" customHeight="1">
      <c r="A32" s="15" t="s">
        <v>275</v>
      </c>
      <c r="B32" s="15" t="s">
        <v>276</v>
      </c>
      <c r="C32" s="16" t="s">
        <v>49</v>
      </c>
      <c r="D32" s="15" t="s">
        <v>277</v>
      </c>
      <c r="E32" s="15" t="s">
        <v>88</v>
      </c>
      <c r="F32" s="15" t="s">
        <v>278</v>
      </c>
      <c r="G32" s="15" t="s">
        <v>279</v>
      </c>
    </row>
    <row r="33" ht="15.75" customHeight="1">
      <c r="A33" s="33" t="s">
        <v>280</v>
      </c>
      <c r="B33" s="33" t="s">
        <v>281</v>
      </c>
      <c r="C33" s="16" t="s">
        <v>49</v>
      </c>
      <c r="D33" s="33" t="s">
        <v>122</v>
      </c>
      <c r="E33" s="33" t="s">
        <v>57</v>
      </c>
      <c r="F33" s="33" t="s">
        <v>126</v>
      </c>
      <c r="G33" s="33" t="s">
        <v>283</v>
      </c>
    </row>
    <row r="34" ht="15.75" customHeight="1">
      <c r="A34" s="33" t="s">
        <v>284</v>
      </c>
      <c r="B34" s="33" t="s">
        <v>286</v>
      </c>
      <c r="C34" s="16" t="s">
        <v>49</v>
      </c>
      <c r="D34" s="33" t="s">
        <v>122</v>
      </c>
      <c r="E34" s="33" t="s">
        <v>57</v>
      </c>
      <c r="F34" s="33" t="s">
        <v>126</v>
      </c>
      <c r="G34" s="33" t="s">
        <v>289</v>
      </c>
    </row>
    <row r="35" ht="15.75" customHeight="1">
      <c r="A35" s="33" t="s">
        <v>290</v>
      </c>
      <c r="B35" s="33" t="s">
        <v>291</v>
      </c>
      <c r="C35" s="16" t="s">
        <v>49</v>
      </c>
      <c r="D35" s="33" t="s">
        <v>112</v>
      </c>
      <c r="E35" s="33" t="s">
        <v>292</v>
      </c>
      <c r="F35" s="33" t="s">
        <v>115</v>
      </c>
      <c r="G35" s="33" t="s">
        <v>293</v>
      </c>
    </row>
    <row r="36" ht="15.75" customHeight="1">
      <c r="A36" s="33" t="s">
        <v>294</v>
      </c>
      <c r="B36" s="33" t="s">
        <v>295</v>
      </c>
      <c r="C36" s="16" t="s">
        <v>49</v>
      </c>
      <c r="D36" s="33" t="s">
        <v>55</v>
      </c>
      <c r="E36" s="33" t="s">
        <v>57</v>
      </c>
      <c r="F36" s="33" t="s">
        <v>59</v>
      </c>
      <c r="G36" s="33" t="s">
        <v>297</v>
      </c>
    </row>
    <row r="37" ht="15.75" customHeight="1">
      <c r="A37" s="33" t="s">
        <v>299</v>
      </c>
      <c r="B37" s="33" t="s">
        <v>301</v>
      </c>
      <c r="C37" s="16" t="s">
        <v>49</v>
      </c>
      <c r="D37" s="33" t="s">
        <v>112</v>
      </c>
      <c r="E37" s="33" t="s">
        <v>88</v>
      </c>
      <c r="F37" s="33" t="s">
        <v>115</v>
      </c>
      <c r="G37" s="33" t="s">
        <v>306</v>
      </c>
    </row>
    <row r="38" ht="15.75" customHeight="1">
      <c r="A38" s="33" t="s">
        <v>307</v>
      </c>
      <c r="B38" s="33" t="s">
        <v>310</v>
      </c>
      <c r="C38" s="16" t="s">
        <v>49</v>
      </c>
      <c r="D38" s="33" t="s">
        <v>71</v>
      </c>
      <c r="E38" s="33" t="s">
        <v>88</v>
      </c>
      <c r="F38" s="33" t="s">
        <v>75</v>
      </c>
      <c r="G38" s="33" t="s">
        <v>321</v>
      </c>
    </row>
    <row r="39" ht="15.75" customHeight="1">
      <c r="A39" s="33" t="s">
        <v>322</v>
      </c>
      <c r="B39" s="33" t="s">
        <v>324</v>
      </c>
      <c r="C39" s="16" t="s">
        <v>326</v>
      </c>
      <c r="D39" s="33" t="s">
        <v>328</v>
      </c>
      <c r="E39" s="33" t="s">
        <v>88</v>
      </c>
      <c r="F39" s="33" t="s">
        <v>331</v>
      </c>
      <c r="G39" s="33" t="s">
        <v>334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9"/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0"/>
    <col customWidth="1" min="2" max="2" width="20.0"/>
    <col customWidth="1" min="3" max="3" width="15.0"/>
    <col customWidth="1" min="4" max="5" width="20.0"/>
    <col customWidth="1" min="6" max="6" width="15.0"/>
    <col customWidth="1" min="7" max="7" width="20.0"/>
    <col customWidth="1" min="8" max="9" width="12.25"/>
    <col customWidth="1" min="10" max="10" width="20.0"/>
    <col customWidth="1" min="11" max="11" width="15.0"/>
    <col customWidth="1" min="12" max="12" width="31.13"/>
    <col customWidth="1" min="13" max="26" width="8.63"/>
  </cols>
  <sheetData>
    <row r="1" ht="25.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2.5" customHeight="1">
      <c r="A2" s="4" t="s">
        <v>5</v>
      </c>
    </row>
    <row r="3" ht="19.5" customHeight="1">
      <c r="A3" s="7" t="s">
        <v>8</v>
      </c>
    </row>
    <row r="4" ht="39.0" customHeight="1">
      <c r="A4" s="10" t="s">
        <v>13</v>
      </c>
      <c r="B4" s="10" t="s">
        <v>17</v>
      </c>
      <c r="C4" s="10" t="s">
        <v>18</v>
      </c>
      <c r="D4" s="13" t="s">
        <v>19</v>
      </c>
      <c r="E4" s="10" t="s">
        <v>31</v>
      </c>
      <c r="F4" s="13" t="s">
        <v>33</v>
      </c>
      <c r="G4" s="10" t="s">
        <v>37</v>
      </c>
      <c r="H4" s="13" t="s">
        <v>39</v>
      </c>
      <c r="I4" s="13" t="s">
        <v>41</v>
      </c>
      <c r="J4" s="10" t="s">
        <v>46</v>
      </c>
      <c r="K4" s="10" t="s">
        <v>50</v>
      </c>
      <c r="L4" s="13" t="s">
        <v>52</v>
      </c>
    </row>
    <row r="5">
      <c r="A5" s="15" t="s">
        <v>66</v>
      </c>
      <c r="B5" s="15" t="s">
        <v>70</v>
      </c>
      <c r="C5" s="16" t="s">
        <v>78</v>
      </c>
      <c r="D5" s="15"/>
      <c r="E5" s="16" t="s">
        <v>84</v>
      </c>
      <c r="F5" s="15"/>
      <c r="G5" s="16" t="s">
        <v>86</v>
      </c>
      <c r="H5" s="20">
        <v>46234.0</v>
      </c>
      <c r="I5" s="20"/>
      <c r="J5" s="20">
        <v>46234.0</v>
      </c>
      <c r="K5" s="15" t="s">
        <v>107</v>
      </c>
      <c r="L5" s="15" t="s">
        <v>109</v>
      </c>
    </row>
    <row r="6">
      <c r="A6" s="15" t="s">
        <v>125</v>
      </c>
      <c r="B6" s="15" t="s">
        <v>128</v>
      </c>
      <c r="C6" s="16" t="s">
        <v>132</v>
      </c>
      <c r="D6" s="15" t="s">
        <v>134</v>
      </c>
      <c r="E6" s="16" t="s">
        <v>139</v>
      </c>
      <c r="F6" s="15"/>
      <c r="G6" s="16" t="s">
        <v>86</v>
      </c>
      <c r="H6" s="20"/>
      <c r="I6" s="20"/>
      <c r="J6" s="20">
        <v>46234.0</v>
      </c>
      <c r="K6" s="15" t="s">
        <v>107</v>
      </c>
      <c r="L6" s="15" t="s">
        <v>159</v>
      </c>
    </row>
    <row r="7">
      <c r="A7" s="23"/>
      <c r="C7" s="23"/>
      <c r="E7" s="23"/>
      <c r="F7" s="23"/>
      <c r="G7" s="23"/>
      <c r="H7" s="24"/>
      <c r="I7" s="24"/>
      <c r="J7" s="24"/>
      <c r="K7" s="23"/>
    </row>
    <row r="8">
      <c r="A8" s="23"/>
      <c r="C8" s="23"/>
      <c r="E8" s="23"/>
      <c r="F8" s="23"/>
      <c r="G8" s="23"/>
      <c r="H8" s="24"/>
      <c r="I8" s="24"/>
      <c r="J8" s="24"/>
      <c r="K8" s="23"/>
    </row>
    <row r="9">
      <c r="A9" s="23"/>
      <c r="C9" s="23"/>
      <c r="E9" s="23"/>
      <c r="F9" s="23"/>
      <c r="G9" s="23"/>
      <c r="H9" s="24"/>
      <c r="I9" s="24"/>
      <c r="J9" s="24"/>
      <c r="K9" s="23"/>
    </row>
    <row r="10">
      <c r="A10" s="23"/>
      <c r="C10" s="23"/>
      <c r="E10" s="23"/>
      <c r="F10" s="23"/>
      <c r="G10" s="23"/>
      <c r="H10" s="24"/>
      <c r="I10" s="24"/>
      <c r="J10" s="24"/>
      <c r="K10" s="23"/>
    </row>
    <row r="11">
      <c r="A11" s="23"/>
      <c r="C11" s="23"/>
      <c r="E11" s="23"/>
      <c r="F11" s="23"/>
      <c r="G11" s="23"/>
      <c r="H11" s="24"/>
      <c r="I11" s="24"/>
      <c r="J11" s="24"/>
      <c r="K11" s="23"/>
    </row>
    <row r="12">
      <c r="A12" s="23"/>
      <c r="C12" s="23"/>
      <c r="E12" s="23"/>
      <c r="F12" s="23"/>
      <c r="G12" s="23"/>
      <c r="H12" s="24"/>
      <c r="I12" s="24"/>
      <c r="J12" s="24"/>
      <c r="K12" s="23"/>
    </row>
    <row r="13">
      <c r="A13" s="23"/>
      <c r="C13" s="23"/>
      <c r="E13" s="23"/>
      <c r="F13" s="23"/>
      <c r="G13" s="23"/>
      <c r="H13" s="24"/>
      <c r="I13" s="24"/>
      <c r="J13" s="24"/>
      <c r="K13" s="23"/>
    </row>
    <row r="14">
      <c r="A14" s="23"/>
      <c r="C14" s="23"/>
      <c r="E14" s="23"/>
      <c r="F14" s="23"/>
      <c r="G14" s="23"/>
      <c r="H14" s="24"/>
      <c r="I14" s="24"/>
      <c r="J14" s="24"/>
      <c r="K14" s="23"/>
    </row>
    <row r="15">
      <c r="A15" s="23"/>
      <c r="C15" s="23"/>
      <c r="E15" s="23"/>
      <c r="F15" s="23"/>
      <c r="G15" s="23"/>
      <c r="H15" s="24"/>
      <c r="I15" s="24"/>
      <c r="J15" s="24"/>
      <c r="K15" s="23"/>
    </row>
    <row r="16">
      <c r="A16" s="23"/>
      <c r="C16" s="23"/>
      <c r="E16" s="23"/>
      <c r="F16" s="23"/>
      <c r="G16" s="23"/>
      <c r="H16" s="24"/>
      <c r="I16" s="24"/>
      <c r="J16" s="24"/>
      <c r="K16" s="23"/>
    </row>
    <row r="17">
      <c r="A17" s="23"/>
      <c r="C17" s="23"/>
      <c r="E17" s="23"/>
      <c r="F17" s="23"/>
      <c r="G17" s="23"/>
      <c r="H17" s="24"/>
      <c r="I17" s="24"/>
      <c r="J17" s="24"/>
      <c r="K17" s="23"/>
    </row>
    <row r="18">
      <c r="A18" s="23"/>
      <c r="C18" s="23"/>
      <c r="E18" s="23"/>
      <c r="F18" s="23"/>
      <c r="G18" s="23"/>
      <c r="H18" s="24"/>
      <c r="I18" s="24"/>
      <c r="J18" s="24"/>
      <c r="K18" s="23"/>
    </row>
    <row r="19">
      <c r="A19" s="23"/>
      <c r="C19" s="23"/>
      <c r="E19" s="23"/>
      <c r="F19" s="23"/>
      <c r="G19" s="23"/>
      <c r="H19" s="24"/>
      <c r="I19" s="24"/>
      <c r="J19" s="24"/>
      <c r="K19" s="23"/>
    </row>
    <row r="20">
      <c r="A20" s="23"/>
      <c r="C20" s="23"/>
      <c r="E20" s="23"/>
      <c r="F20" s="23"/>
      <c r="G20" s="23"/>
      <c r="H20" s="24"/>
      <c r="I20" s="24"/>
      <c r="J20" s="24"/>
      <c r="K20" s="23"/>
    </row>
    <row r="21" ht="15.75" customHeight="1">
      <c r="A21" s="23"/>
      <c r="C21" s="23"/>
      <c r="E21" s="23"/>
      <c r="F21" s="23"/>
      <c r="G21" s="23"/>
      <c r="H21" s="24"/>
      <c r="I21" s="24"/>
      <c r="J21" s="24"/>
      <c r="K21" s="23"/>
    </row>
    <row r="22" ht="15.75" customHeight="1">
      <c r="A22" s="23"/>
      <c r="C22" s="23"/>
      <c r="E22" s="23"/>
      <c r="F22" s="23"/>
      <c r="G22" s="23"/>
      <c r="H22" s="24"/>
      <c r="I22" s="24"/>
      <c r="J22" s="24"/>
      <c r="K22" s="23"/>
    </row>
    <row r="23" ht="15.75" customHeight="1">
      <c r="A23" s="23"/>
      <c r="C23" s="23"/>
      <c r="E23" s="23"/>
      <c r="F23" s="23"/>
      <c r="G23" s="23"/>
      <c r="H23" s="24"/>
      <c r="I23" s="24"/>
      <c r="J23" s="24"/>
      <c r="K23" s="23"/>
    </row>
    <row r="24" ht="15.75" customHeight="1">
      <c r="A24" s="23"/>
      <c r="C24" s="23"/>
      <c r="E24" s="23"/>
      <c r="F24" s="23"/>
      <c r="G24" s="23"/>
      <c r="H24" s="24"/>
      <c r="I24" s="24"/>
      <c r="J24" s="24"/>
      <c r="K24" s="23"/>
    </row>
    <row r="25" ht="15.75" customHeight="1">
      <c r="A25" s="23"/>
      <c r="C25" s="23"/>
      <c r="E25" s="23"/>
      <c r="F25" s="23"/>
      <c r="G25" s="23"/>
      <c r="H25" s="24"/>
      <c r="I25" s="24"/>
      <c r="J25" s="24"/>
      <c r="K25" s="23"/>
    </row>
    <row r="26" ht="15.75" customHeight="1">
      <c r="A26" s="23"/>
      <c r="C26" s="23"/>
      <c r="E26" s="23"/>
      <c r="F26" s="23"/>
      <c r="G26" s="23"/>
      <c r="H26" s="24"/>
      <c r="I26" s="24"/>
      <c r="J26" s="24"/>
      <c r="K26" s="23"/>
    </row>
    <row r="27" ht="15.75" customHeight="1">
      <c r="A27" s="23"/>
      <c r="C27" s="23"/>
      <c r="E27" s="23"/>
      <c r="F27" s="23"/>
      <c r="G27" s="23"/>
      <c r="H27" s="24"/>
      <c r="I27" s="24"/>
      <c r="J27" s="24"/>
      <c r="K27" s="23"/>
    </row>
    <row r="28" ht="15.75" customHeight="1">
      <c r="A28" s="23"/>
      <c r="C28" s="23"/>
      <c r="E28" s="23"/>
      <c r="F28" s="23"/>
      <c r="G28" s="23"/>
      <c r="H28" s="24"/>
      <c r="I28" s="24"/>
      <c r="J28" s="24"/>
      <c r="K28" s="23"/>
    </row>
    <row r="29" ht="15.75" customHeight="1">
      <c r="A29" s="23"/>
      <c r="C29" s="23"/>
      <c r="E29" s="23"/>
      <c r="F29" s="23"/>
      <c r="G29" s="23"/>
      <c r="H29" s="24"/>
      <c r="I29" s="24"/>
      <c r="J29" s="24"/>
      <c r="K29" s="23"/>
    </row>
    <row r="30" ht="15.75" customHeight="1">
      <c r="A30" s="23"/>
      <c r="C30" s="23"/>
      <c r="E30" s="23"/>
      <c r="F30" s="23"/>
      <c r="G30" s="23"/>
      <c r="H30" s="24"/>
      <c r="I30" s="24"/>
      <c r="J30" s="24"/>
      <c r="K30" s="23"/>
    </row>
    <row r="31" ht="15.75" customHeight="1">
      <c r="A31" s="23"/>
      <c r="C31" s="23"/>
      <c r="E31" s="23"/>
      <c r="F31" s="23"/>
      <c r="G31" s="23"/>
      <c r="H31" s="24"/>
      <c r="I31" s="24"/>
      <c r="J31" s="24"/>
      <c r="K31" s="23"/>
    </row>
    <row r="32" ht="15.75" customHeight="1">
      <c r="A32" s="23"/>
      <c r="C32" s="23"/>
      <c r="E32" s="23"/>
      <c r="F32" s="23"/>
      <c r="G32" s="23"/>
      <c r="H32" s="24"/>
      <c r="I32" s="24"/>
      <c r="J32" s="24"/>
      <c r="K32" s="23"/>
    </row>
    <row r="33" ht="15.75" customHeight="1">
      <c r="A33" s="23"/>
      <c r="C33" s="23"/>
      <c r="E33" s="23"/>
      <c r="F33" s="23"/>
      <c r="G33" s="23"/>
      <c r="H33" s="24"/>
      <c r="I33" s="24"/>
      <c r="J33" s="24"/>
      <c r="K33" s="23"/>
    </row>
    <row r="34" ht="15.75" customHeight="1">
      <c r="A34" s="23"/>
      <c r="C34" s="23"/>
      <c r="E34" s="23"/>
      <c r="F34" s="23"/>
      <c r="G34" s="23"/>
      <c r="H34" s="24"/>
      <c r="I34" s="24"/>
      <c r="J34" s="24"/>
      <c r="K34" s="23"/>
    </row>
    <row r="35" ht="15.75" customHeight="1">
      <c r="A35" s="23"/>
      <c r="C35" s="23"/>
      <c r="E35" s="23"/>
      <c r="F35" s="23"/>
      <c r="G35" s="23"/>
      <c r="H35" s="24"/>
      <c r="I35" s="24"/>
      <c r="J35" s="24"/>
      <c r="K35" s="23"/>
    </row>
    <row r="36" ht="15.75" customHeight="1">
      <c r="A36" s="23"/>
      <c r="C36" s="23"/>
      <c r="E36" s="23"/>
      <c r="F36" s="23"/>
      <c r="G36" s="23"/>
      <c r="H36" s="24"/>
      <c r="I36" s="24"/>
      <c r="J36" s="24"/>
      <c r="K36" s="23"/>
    </row>
    <row r="37" ht="15.75" customHeight="1">
      <c r="A37" s="23"/>
      <c r="C37" s="23"/>
      <c r="E37" s="23"/>
      <c r="F37" s="23"/>
      <c r="G37" s="23"/>
      <c r="H37" s="24"/>
      <c r="I37" s="24"/>
      <c r="J37" s="24"/>
      <c r="K37" s="23"/>
    </row>
    <row r="38" ht="15.75" customHeight="1">
      <c r="A38" s="23"/>
      <c r="C38" s="23"/>
      <c r="E38" s="23"/>
      <c r="F38" s="23"/>
      <c r="G38" s="23"/>
      <c r="H38" s="24"/>
      <c r="I38" s="24"/>
      <c r="J38" s="24"/>
      <c r="K38" s="23"/>
    </row>
    <row r="39" ht="15.75" customHeight="1">
      <c r="A39" s="23"/>
      <c r="C39" s="23"/>
      <c r="E39" s="23"/>
      <c r="F39" s="23"/>
      <c r="G39" s="23"/>
      <c r="H39" s="24"/>
      <c r="I39" s="24"/>
      <c r="J39" s="24"/>
      <c r="K39" s="23"/>
    </row>
    <row r="40" ht="15.75" customHeight="1">
      <c r="A40" s="23"/>
      <c r="C40" s="23"/>
      <c r="E40" s="23"/>
      <c r="F40" s="23"/>
      <c r="G40" s="23"/>
      <c r="H40" s="24"/>
      <c r="I40" s="24"/>
      <c r="J40" s="24"/>
      <c r="K40" s="23"/>
    </row>
    <row r="41" ht="15.75" customHeight="1">
      <c r="A41" s="23"/>
      <c r="C41" s="23"/>
      <c r="E41" s="23"/>
      <c r="F41" s="23"/>
      <c r="G41" s="23"/>
      <c r="H41" s="24"/>
      <c r="I41" s="24"/>
      <c r="J41" s="24"/>
      <c r="K41" s="23"/>
    </row>
    <row r="42" ht="15.75" customHeight="1">
      <c r="A42" s="23"/>
      <c r="C42" s="23"/>
      <c r="E42" s="23"/>
      <c r="F42" s="23"/>
      <c r="G42" s="23"/>
      <c r="H42" s="24"/>
      <c r="I42" s="24"/>
      <c r="J42" s="24"/>
      <c r="K42" s="23"/>
    </row>
    <row r="43" ht="15.75" customHeight="1">
      <c r="A43" s="23"/>
      <c r="C43" s="23"/>
      <c r="E43" s="23"/>
      <c r="F43" s="23"/>
      <c r="G43" s="23"/>
      <c r="H43" s="24"/>
      <c r="I43" s="24"/>
      <c r="J43" s="24"/>
      <c r="K43" s="23"/>
    </row>
    <row r="44" ht="15.75" customHeight="1">
      <c r="A44" s="23"/>
      <c r="C44" s="23"/>
      <c r="E44" s="23"/>
      <c r="F44" s="23"/>
      <c r="G44" s="23"/>
      <c r="H44" s="24"/>
      <c r="I44" s="24"/>
      <c r="J44" s="24"/>
      <c r="K44" s="23"/>
    </row>
    <row r="45" ht="15.75" customHeight="1">
      <c r="A45" s="23"/>
      <c r="C45" s="23"/>
      <c r="E45" s="23"/>
      <c r="F45" s="23"/>
      <c r="G45" s="23"/>
      <c r="H45" s="24"/>
      <c r="I45" s="24"/>
      <c r="J45" s="24"/>
      <c r="K45" s="23"/>
    </row>
    <row r="46" ht="15.75" customHeight="1">
      <c r="A46" s="23"/>
      <c r="C46" s="23"/>
      <c r="E46" s="23"/>
      <c r="F46" s="23"/>
      <c r="G46" s="23"/>
      <c r="H46" s="24"/>
      <c r="I46" s="24"/>
      <c r="J46" s="24"/>
      <c r="K46" s="23"/>
    </row>
    <row r="47" ht="15.75" customHeight="1">
      <c r="A47" s="23"/>
      <c r="C47" s="23"/>
      <c r="E47" s="23"/>
      <c r="F47" s="23"/>
      <c r="G47" s="23"/>
      <c r="H47" s="24"/>
      <c r="I47" s="24"/>
      <c r="J47" s="24"/>
      <c r="K47" s="23"/>
    </row>
    <row r="48" ht="15.75" customHeight="1">
      <c r="A48" s="23"/>
      <c r="C48" s="23"/>
      <c r="E48" s="23"/>
      <c r="F48" s="23"/>
      <c r="G48" s="23"/>
      <c r="H48" s="24"/>
      <c r="I48" s="24"/>
      <c r="J48" s="24"/>
      <c r="K48" s="23"/>
    </row>
    <row r="49" ht="15.75" customHeight="1">
      <c r="A49" s="23"/>
      <c r="C49" s="23"/>
      <c r="E49" s="23"/>
      <c r="F49" s="23"/>
      <c r="G49" s="23"/>
      <c r="H49" s="24"/>
      <c r="I49" s="24"/>
      <c r="J49" s="24"/>
      <c r="K49" s="23"/>
    </row>
    <row r="50" ht="15.75" customHeight="1">
      <c r="A50" s="23"/>
      <c r="C50" s="23"/>
      <c r="E50" s="23"/>
      <c r="F50" s="23"/>
      <c r="G50" s="23"/>
      <c r="H50" s="24"/>
      <c r="I50" s="24"/>
      <c r="J50" s="24"/>
      <c r="K50" s="23"/>
    </row>
    <row r="51" ht="15.75" customHeight="1">
      <c r="A51" s="23"/>
      <c r="C51" s="23"/>
      <c r="E51" s="23"/>
      <c r="F51" s="23"/>
      <c r="G51" s="23"/>
      <c r="H51" s="24"/>
      <c r="I51" s="24"/>
      <c r="J51" s="24"/>
      <c r="K51" s="23"/>
    </row>
    <row r="52" ht="15.75" customHeight="1">
      <c r="A52" s="23"/>
      <c r="C52" s="23"/>
      <c r="E52" s="23"/>
      <c r="F52" s="23"/>
      <c r="G52" s="23"/>
      <c r="H52" s="24"/>
      <c r="I52" s="24"/>
      <c r="J52" s="24"/>
      <c r="K52" s="23"/>
    </row>
    <row r="53" ht="15.75" customHeight="1">
      <c r="A53" s="23"/>
      <c r="C53" s="23"/>
      <c r="E53" s="23"/>
      <c r="F53" s="23"/>
      <c r="G53" s="23"/>
      <c r="H53" s="24"/>
      <c r="I53" s="24"/>
      <c r="J53" s="24"/>
      <c r="K53" s="23"/>
    </row>
    <row r="54" ht="15.75" customHeight="1">
      <c r="A54" s="23"/>
      <c r="C54" s="23"/>
      <c r="E54" s="23"/>
      <c r="F54" s="23"/>
      <c r="G54" s="23"/>
      <c r="H54" s="24"/>
      <c r="I54" s="24"/>
      <c r="J54" s="24"/>
      <c r="K54" s="23"/>
    </row>
    <row r="55" ht="15.75" customHeight="1">
      <c r="A55" s="23"/>
      <c r="C55" s="23"/>
      <c r="E55" s="23"/>
      <c r="F55" s="23"/>
      <c r="G55" s="23"/>
      <c r="H55" s="24"/>
      <c r="I55" s="24"/>
      <c r="J55" s="24"/>
      <c r="K55" s="23"/>
    </row>
    <row r="56" ht="15.75" customHeight="1">
      <c r="A56" s="23"/>
      <c r="C56" s="23"/>
      <c r="E56" s="23"/>
      <c r="F56" s="23"/>
      <c r="G56" s="23"/>
      <c r="H56" s="24"/>
      <c r="I56" s="24"/>
      <c r="J56" s="24"/>
      <c r="K56" s="23"/>
    </row>
    <row r="57" ht="15.75" customHeight="1">
      <c r="A57" s="23"/>
      <c r="C57" s="23"/>
      <c r="E57" s="23"/>
      <c r="F57" s="23"/>
      <c r="G57" s="23"/>
      <c r="H57" s="24"/>
      <c r="I57" s="24"/>
      <c r="J57" s="24"/>
      <c r="K57" s="23"/>
    </row>
    <row r="58" ht="15.75" customHeight="1">
      <c r="A58" s="23"/>
      <c r="C58" s="23"/>
      <c r="E58" s="23"/>
      <c r="F58" s="23"/>
      <c r="G58" s="23"/>
      <c r="H58" s="24"/>
      <c r="I58" s="24"/>
      <c r="J58" s="24"/>
      <c r="K58" s="23"/>
    </row>
    <row r="59" ht="15.75" customHeight="1">
      <c r="A59" s="23"/>
      <c r="C59" s="23"/>
      <c r="E59" s="23"/>
      <c r="F59" s="23"/>
      <c r="G59" s="23"/>
      <c r="H59" s="24"/>
      <c r="I59" s="24"/>
      <c r="J59" s="24"/>
      <c r="K59" s="23"/>
    </row>
    <row r="60" ht="15.75" customHeight="1">
      <c r="A60" s="23"/>
      <c r="C60" s="23"/>
      <c r="E60" s="23"/>
      <c r="F60" s="23"/>
      <c r="G60" s="23"/>
      <c r="H60" s="24"/>
      <c r="I60" s="24"/>
      <c r="J60" s="24"/>
      <c r="K60" s="23"/>
    </row>
    <row r="61" ht="15.75" customHeight="1">
      <c r="A61" s="23"/>
      <c r="C61" s="23"/>
      <c r="E61" s="23"/>
      <c r="F61" s="23"/>
      <c r="G61" s="23"/>
      <c r="H61" s="24"/>
      <c r="I61" s="24"/>
      <c r="J61" s="24"/>
      <c r="K61" s="23"/>
    </row>
    <row r="62" ht="15.75" customHeight="1">
      <c r="A62" s="23"/>
      <c r="C62" s="23"/>
      <c r="E62" s="23"/>
      <c r="F62" s="23"/>
      <c r="G62" s="23"/>
      <c r="H62" s="24"/>
      <c r="I62" s="24"/>
      <c r="J62" s="24"/>
      <c r="K62" s="23"/>
    </row>
    <row r="63" ht="15.75" customHeight="1">
      <c r="A63" s="23"/>
      <c r="C63" s="23"/>
      <c r="E63" s="23"/>
      <c r="F63" s="23"/>
      <c r="G63" s="23"/>
      <c r="H63" s="24"/>
      <c r="I63" s="24"/>
      <c r="J63" s="24"/>
      <c r="K63" s="23"/>
    </row>
    <row r="64" ht="15.75" customHeight="1">
      <c r="A64" s="23"/>
      <c r="C64" s="23"/>
      <c r="E64" s="23"/>
      <c r="F64" s="23"/>
      <c r="G64" s="23"/>
      <c r="H64" s="24"/>
      <c r="I64" s="24"/>
      <c r="J64" s="24"/>
      <c r="K64" s="23"/>
    </row>
    <row r="65" ht="15.75" customHeight="1">
      <c r="A65" s="23"/>
      <c r="C65" s="23"/>
      <c r="E65" s="23"/>
      <c r="F65" s="23"/>
      <c r="G65" s="23"/>
      <c r="H65" s="24"/>
      <c r="I65" s="24"/>
      <c r="J65" s="24"/>
      <c r="K65" s="23"/>
    </row>
    <row r="66" ht="15.75" customHeight="1">
      <c r="A66" s="23"/>
      <c r="C66" s="23"/>
      <c r="E66" s="23"/>
      <c r="F66" s="23"/>
      <c r="G66" s="23"/>
      <c r="H66" s="24"/>
      <c r="I66" s="24"/>
      <c r="J66" s="24"/>
      <c r="K66" s="23"/>
    </row>
    <row r="67" ht="15.75" customHeight="1">
      <c r="A67" s="23"/>
      <c r="C67" s="23"/>
      <c r="E67" s="23"/>
      <c r="F67" s="23"/>
      <c r="G67" s="23"/>
      <c r="H67" s="24"/>
      <c r="I67" s="24"/>
      <c r="J67" s="24"/>
      <c r="K67" s="23"/>
    </row>
    <row r="68" ht="15.75" customHeight="1">
      <c r="A68" s="23"/>
      <c r="C68" s="23"/>
      <c r="E68" s="23"/>
      <c r="F68" s="23"/>
      <c r="G68" s="23"/>
      <c r="H68" s="24"/>
      <c r="I68" s="24"/>
      <c r="J68" s="24"/>
      <c r="K68" s="23"/>
    </row>
    <row r="69" ht="15.75" customHeight="1">
      <c r="A69" s="23"/>
      <c r="C69" s="23"/>
      <c r="E69" s="23"/>
      <c r="F69" s="23"/>
      <c r="G69" s="23"/>
      <c r="H69" s="24"/>
      <c r="I69" s="24"/>
      <c r="J69" s="24"/>
      <c r="K69" s="23"/>
    </row>
    <row r="70" ht="15.75" customHeight="1">
      <c r="A70" s="23"/>
      <c r="C70" s="23"/>
      <c r="E70" s="23"/>
      <c r="F70" s="23"/>
      <c r="G70" s="23"/>
      <c r="H70" s="24"/>
      <c r="I70" s="24"/>
      <c r="J70" s="24"/>
      <c r="K70" s="23"/>
    </row>
    <row r="71" ht="15.75" customHeight="1">
      <c r="A71" s="23"/>
      <c r="C71" s="23"/>
      <c r="E71" s="23"/>
      <c r="F71" s="23"/>
      <c r="G71" s="23"/>
      <c r="H71" s="24"/>
      <c r="I71" s="24"/>
      <c r="J71" s="24"/>
      <c r="K71" s="23"/>
    </row>
    <row r="72" ht="15.75" customHeight="1">
      <c r="A72" s="23"/>
      <c r="C72" s="23"/>
      <c r="E72" s="23"/>
      <c r="F72" s="23"/>
      <c r="G72" s="23"/>
      <c r="H72" s="24"/>
      <c r="I72" s="24"/>
      <c r="J72" s="24"/>
      <c r="K72" s="23"/>
    </row>
    <row r="73" ht="15.75" customHeight="1">
      <c r="A73" s="23"/>
      <c r="C73" s="23"/>
      <c r="E73" s="23"/>
      <c r="F73" s="23"/>
      <c r="G73" s="23"/>
      <c r="H73" s="24"/>
      <c r="I73" s="24"/>
      <c r="J73" s="24"/>
      <c r="K73" s="23"/>
    </row>
    <row r="74" ht="15.75" customHeight="1">
      <c r="A74" s="23"/>
      <c r="C74" s="23"/>
      <c r="E74" s="23"/>
      <c r="F74" s="23"/>
      <c r="G74" s="23"/>
      <c r="H74" s="24"/>
      <c r="I74" s="24"/>
      <c r="J74" s="24"/>
      <c r="K74" s="23"/>
    </row>
    <row r="75" ht="15.75" customHeight="1">
      <c r="A75" s="23"/>
      <c r="C75" s="23"/>
      <c r="E75" s="23"/>
      <c r="F75" s="23"/>
      <c r="G75" s="23"/>
      <c r="H75" s="24"/>
      <c r="I75" s="24"/>
      <c r="J75" s="24"/>
      <c r="K75" s="23"/>
    </row>
    <row r="76" ht="15.75" customHeight="1">
      <c r="A76" s="23"/>
      <c r="C76" s="23"/>
      <c r="E76" s="23"/>
      <c r="F76" s="23"/>
      <c r="G76" s="23"/>
      <c r="H76" s="24"/>
      <c r="I76" s="24"/>
      <c r="J76" s="24"/>
      <c r="K76" s="23"/>
    </row>
    <row r="77" ht="15.75" customHeight="1">
      <c r="A77" s="23"/>
      <c r="C77" s="23"/>
      <c r="E77" s="23"/>
      <c r="F77" s="23"/>
      <c r="G77" s="23"/>
      <c r="H77" s="24"/>
      <c r="I77" s="24"/>
      <c r="J77" s="24"/>
      <c r="K77" s="23"/>
    </row>
    <row r="78" ht="15.75" customHeight="1">
      <c r="A78" s="23"/>
      <c r="C78" s="23"/>
      <c r="E78" s="23"/>
      <c r="F78" s="23"/>
      <c r="G78" s="23"/>
      <c r="H78" s="24"/>
      <c r="I78" s="24"/>
      <c r="J78" s="24"/>
      <c r="K78" s="23"/>
    </row>
    <row r="79" ht="15.75" customHeight="1">
      <c r="A79" s="23"/>
      <c r="C79" s="23"/>
      <c r="E79" s="23"/>
      <c r="F79" s="23"/>
      <c r="G79" s="23"/>
      <c r="H79" s="24"/>
      <c r="I79" s="24"/>
      <c r="J79" s="24"/>
      <c r="K79" s="23"/>
    </row>
    <row r="80" ht="15.75" customHeight="1">
      <c r="A80" s="23"/>
      <c r="C80" s="23"/>
      <c r="E80" s="23"/>
      <c r="F80" s="23"/>
      <c r="G80" s="23"/>
      <c r="H80" s="24"/>
      <c r="I80" s="24"/>
      <c r="J80" s="24"/>
      <c r="K80" s="23"/>
    </row>
    <row r="81" ht="15.75" customHeight="1">
      <c r="A81" s="23"/>
      <c r="C81" s="23"/>
      <c r="E81" s="23"/>
      <c r="F81" s="23"/>
      <c r="G81" s="23"/>
      <c r="H81" s="24"/>
      <c r="I81" s="24"/>
      <c r="J81" s="24"/>
      <c r="K81" s="23"/>
    </row>
    <row r="82" ht="15.75" customHeight="1">
      <c r="A82" s="23"/>
      <c r="C82" s="23"/>
      <c r="E82" s="23"/>
      <c r="F82" s="23"/>
      <c r="G82" s="23"/>
      <c r="H82" s="24"/>
      <c r="I82" s="24"/>
      <c r="J82" s="24"/>
      <c r="K82" s="23"/>
    </row>
    <row r="83" ht="15.75" customHeight="1">
      <c r="A83" s="23"/>
      <c r="C83" s="23"/>
      <c r="E83" s="23"/>
      <c r="F83" s="23"/>
      <c r="G83" s="23"/>
      <c r="H83" s="24"/>
      <c r="I83" s="24"/>
      <c r="J83" s="24"/>
      <c r="K83" s="23"/>
    </row>
    <row r="84" ht="15.75" customHeight="1">
      <c r="A84" s="23"/>
      <c r="C84" s="23"/>
      <c r="E84" s="23"/>
      <c r="F84" s="23"/>
      <c r="G84" s="23"/>
      <c r="H84" s="24"/>
      <c r="I84" s="24"/>
      <c r="J84" s="24"/>
      <c r="K84" s="23"/>
    </row>
    <row r="85" ht="15.75" customHeight="1">
      <c r="A85" s="23"/>
      <c r="C85" s="23"/>
      <c r="E85" s="23"/>
      <c r="F85" s="23"/>
      <c r="G85" s="23"/>
      <c r="H85" s="24"/>
      <c r="I85" s="24"/>
      <c r="J85" s="24"/>
      <c r="K85" s="23"/>
    </row>
    <row r="86" ht="15.75" customHeight="1">
      <c r="A86" s="23"/>
      <c r="C86" s="23"/>
      <c r="E86" s="23"/>
      <c r="F86" s="23"/>
      <c r="G86" s="23"/>
      <c r="H86" s="24"/>
      <c r="I86" s="24"/>
      <c r="J86" s="24"/>
      <c r="K86" s="23"/>
    </row>
    <row r="87" ht="15.75" customHeight="1">
      <c r="A87" s="23"/>
      <c r="C87" s="23"/>
      <c r="E87" s="23"/>
      <c r="F87" s="23"/>
      <c r="G87" s="23"/>
      <c r="H87" s="24"/>
      <c r="I87" s="24"/>
      <c r="J87" s="24"/>
      <c r="K87" s="23"/>
    </row>
    <row r="88" ht="15.75" customHeight="1">
      <c r="A88" s="23"/>
      <c r="C88" s="23"/>
      <c r="E88" s="23"/>
      <c r="F88" s="23"/>
      <c r="G88" s="23"/>
      <c r="H88" s="24"/>
      <c r="I88" s="24"/>
      <c r="J88" s="24"/>
      <c r="K88" s="23"/>
    </row>
    <row r="89" ht="15.75" customHeight="1">
      <c r="A89" s="23"/>
      <c r="C89" s="23"/>
      <c r="E89" s="23"/>
      <c r="F89" s="23"/>
      <c r="G89" s="23"/>
      <c r="H89" s="24"/>
      <c r="I89" s="24"/>
      <c r="J89" s="24"/>
      <c r="K89" s="23"/>
    </row>
    <row r="90" ht="15.75" customHeight="1">
      <c r="A90" s="23"/>
      <c r="C90" s="23"/>
      <c r="E90" s="23"/>
      <c r="F90" s="23"/>
      <c r="G90" s="23"/>
      <c r="H90" s="24"/>
      <c r="I90" s="24"/>
      <c r="J90" s="24"/>
      <c r="K90" s="23"/>
    </row>
    <row r="91" ht="15.75" customHeight="1">
      <c r="A91" s="23"/>
      <c r="C91" s="23"/>
      <c r="E91" s="23"/>
      <c r="F91" s="23"/>
      <c r="G91" s="23"/>
      <c r="H91" s="24"/>
      <c r="I91" s="24"/>
      <c r="J91" s="24"/>
      <c r="K91" s="23"/>
    </row>
    <row r="92" ht="15.75" customHeight="1">
      <c r="A92" s="23"/>
      <c r="C92" s="23"/>
      <c r="E92" s="23"/>
      <c r="F92" s="23"/>
      <c r="G92" s="23"/>
      <c r="H92" s="24"/>
      <c r="I92" s="24"/>
      <c r="J92" s="24"/>
      <c r="K92" s="23"/>
    </row>
    <row r="93" ht="15.75" customHeight="1">
      <c r="A93" s="23"/>
      <c r="C93" s="23"/>
      <c r="E93" s="23"/>
      <c r="F93" s="23"/>
      <c r="G93" s="23"/>
      <c r="H93" s="24"/>
      <c r="I93" s="24"/>
      <c r="J93" s="24"/>
      <c r="K93" s="23"/>
    </row>
    <row r="94" ht="15.75" customHeight="1">
      <c r="A94" s="23"/>
      <c r="C94" s="23"/>
      <c r="E94" s="23"/>
      <c r="F94" s="23"/>
      <c r="G94" s="23"/>
      <c r="H94" s="24"/>
      <c r="I94" s="24"/>
      <c r="J94" s="24"/>
      <c r="K94" s="23"/>
    </row>
    <row r="95" ht="15.75" customHeight="1">
      <c r="A95" s="23"/>
      <c r="C95" s="23"/>
      <c r="E95" s="23"/>
      <c r="F95" s="23"/>
      <c r="G95" s="23"/>
      <c r="H95" s="24"/>
      <c r="I95" s="24"/>
      <c r="J95" s="24"/>
      <c r="K95" s="23"/>
    </row>
    <row r="96" ht="15.75" customHeight="1">
      <c r="A96" s="23"/>
      <c r="C96" s="23"/>
      <c r="E96" s="23"/>
      <c r="F96" s="23"/>
      <c r="G96" s="23"/>
      <c r="H96" s="24"/>
      <c r="I96" s="24"/>
      <c r="J96" s="24"/>
      <c r="K96" s="23"/>
    </row>
    <row r="97" ht="15.75" customHeight="1">
      <c r="A97" s="23"/>
      <c r="C97" s="23"/>
      <c r="E97" s="23"/>
      <c r="F97" s="23"/>
      <c r="G97" s="23"/>
      <c r="H97" s="24"/>
      <c r="I97" s="24"/>
      <c r="J97" s="24"/>
      <c r="K97" s="23"/>
    </row>
    <row r="98" ht="15.75" customHeight="1">
      <c r="A98" s="23"/>
      <c r="C98" s="23"/>
      <c r="E98" s="23"/>
      <c r="F98" s="23"/>
      <c r="G98" s="23"/>
      <c r="H98" s="24"/>
      <c r="I98" s="24"/>
      <c r="J98" s="24"/>
      <c r="K98" s="23"/>
    </row>
    <row r="99" ht="15.75" customHeight="1">
      <c r="A99" s="23"/>
      <c r="C99" s="23"/>
      <c r="E99" s="23"/>
      <c r="F99" s="23"/>
      <c r="G99" s="23"/>
      <c r="H99" s="24"/>
      <c r="I99" s="24"/>
      <c r="J99" s="24"/>
      <c r="K99" s="23"/>
    </row>
    <row r="100" ht="15.75" customHeight="1">
      <c r="A100" s="23"/>
      <c r="C100" s="23"/>
      <c r="E100" s="23"/>
      <c r="F100" s="23"/>
      <c r="G100" s="23"/>
      <c r="H100" s="24"/>
      <c r="I100" s="24"/>
      <c r="J100" s="24"/>
      <c r="K100" s="23"/>
    </row>
    <row r="101" ht="15.75" customHeight="1">
      <c r="A101" s="23"/>
      <c r="C101" s="23"/>
      <c r="E101" s="23"/>
      <c r="F101" s="23"/>
      <c r="G101" s="23"/>
      <c r="H101" s="24"/>
      <c r="I101" s="24"/>
      <c r="J101" s="24"/>
      <c r="K101" s="23"/>
    </row>
    <row r="102" ht="15.75" customHeight="1">
      <c r="A102" s="23"/>
      <c r="C102" s="23"/>
      <c r="E102" s="23"/>
      <c r="F102" s="23"/>
      <c r="G102" s="23"/>
      <c r="H102" s="24"/>
      <c r="I102" s="24"/>
      <c r="J102" s="24"/>
      <c r="K102" s="23"/>
    </row>
    <row r="103" ht="15.75" customHeight="1">
      <c r="A103" s="23"/>
      <c r="C103" s="23"/>
      <c r="E103" s="23"/>
      <c r="F103" s="23"/>
      <c r="G103" s="23"/>
      <c r="H103" s="24"/>
      <c r="I103" s="24"/>
      <c r="J103" s="24"/>
      <c r="K103" s="23"/>
    </row>
    <row r="104" ht="15.75" customHeight="1">
      <c r="A104" s="23"/>
      <c r="C104" s="23"/>
      <c r="E104" s="23"/>
      <c r="F104" s="23"/>
      <c r="G104" s="23"/>
      <c r="H104" s="24"/>
      <c r="I104" s="24"/>
      <c r="J104" s="24"/>
      <c r="K104" s="23"/>
    </row>
    <row r="105" ht="15.75" customHeight="1">
      <c r="A105" s="23"/>
      <c r="C105" s="23"/>
      <c r="E105" s="23"/>
      <c r="F105" s="23"/>
      <c r="G105" s="23"/>
      <c r="H105" s="24"/>
      <c r="I105" s="24"/>
      <c r="J105" s="24"/>
      <c r="K105" s="23"/>
    </row>
    <row r="106" ht="15.75" customHeight="1">
      <c r="A106" s="23"/>
      <c r="C106" s="23"/>
      <c r="E106" s="23"/>
      <c r="F106" s="23"/>
      <c r="G106" s="23"/>
      <c r="H106" s="24"/>
      <c r="I106" s="24"/>
      <c r="J106" s="24"/>
      <c r="K106" s="23"/>
    </row>
    <row r="107" ht="15.75" customHeight="1">
      <c r="A107" s="23"/>
      <c r="C107" s="23"/>
      <c r="E107" s="23"/>
      <c r="F107" s="23"/>
      <c r="G107" s="23"/>
      <c r="H107" s="24"/>
      <c r="I107" s="24"/>
      <c r="J107" s="24"/>
      <c r="K107" s="23"/>
    </row>
    <row r="108" ht="15.75" customHeight="1">
      <c r="A108" s="23"/>
      <c r="C108" s="23"/>
      <c r="E108" s="23"/>
      <c r="F108" s="23"/>
      <c r="G108" s="23"/>
      <c r="H108" s="24"/>
      <c r="I108" s="24"/>
      <c r="J108" s="24"/>
      <c r="K108" s="23"/>
    </row>
    <row r="109" ht="15.75" customHeight="1">
      <c r="A109" s="23"/>
      <c r="C109" s="23"/>
      <c r="E109" s="23"/>
      <c r="F109" s="23"/>
      <c r="G109" s="23"/>
      <c r="H109" s="24"/>
      <c r="I109" s="24"/>
      <c r="J109" s="24"/>
      <c r="K109" s="23"/>
    </row>
    <row r="110" ht="15.75" customHeight="1">
      <c r="A110" s="23"/>
      <c r="C110" s="23"/>
      <c r="E110" s="23"/>
      <c r="F110" s="23"/>
      <c r="G110" s="23"/>
      <c r="H110" s="24"/>
      <c r="I110" s="24"/>
      <c r="J110" s="24"/>
      <c r="K110" s="23"/>
    </row>
    <row r="111" ht="15.75" customHeight="1">
      <c r="A111" s="23"/>
      <c r="C111" s="23"/>
      <c r="E111" s="23"/>
      <c r="F111" s="23"/>
      <c r="G111" s="23"/>
      <c r="H111" s="24"/>
      <c r="I111" s="24"/>
      <c r="J111" s="24"/>
      <c r="K111" s="23"/>
    </row>
    <row r="112" ht="15.75" customHeight="1">
      <c r="A112" s="23"/>
      <c r="C112" s="23"/>
      <c r="E112" s="23"/>
      <c r="F112" s="23"/>
      <c r="G112" s="23"/>
      <c r="H112" s="24"/>
      <c r="I112" s="24"/>
      <c r="J112" s="24"/>
      <c r="K112" s="23"/>
    </row>
    <row r="113" ht="15.75" customHeight="1">
      <c r="A113" s="23"/>
      <c r="C113" s="23"/>
      <c r="E113" s="23"/>
      <c r="F113" s="23"/>
      <c r="G113" s="23"/>
      <c r="H113" s="24"/>
      <c r="I113" s="24"/>
      <c r="J113" s="24"/>
      <c r="K113" s="23"/>
    </row>
    <row r="114" ht="15.75" customHeight="1">
      <c r="A114" s="23"/>
      <c r="C114" s="23"/>
      <c r="E114" s="23"/>
      <c r="F114" s="23"/>
      <c r="G114" s="23"/>
      <c r="H114" s="24"/>
      <c r="I114" s="24"/>
      <c r="J114" s="24"/>
      <c r="K114" s="23"/>
    </row>
    <row r="115" ht="15.75" customHeight="1">
      <c r="A115" s="23"/>
      <c r="C115" s="23"/>
      <c r="E115" s="23"/>
      <c r="F115" s="23"/>
      <c r="G115" s="23"/>
      <c r="H115" s="24"/>
      <c r="I115" s="24"/>
      <c r="J115" s="24"/>
      <c r="K115" s="23"/>
    </row>
    <row r="116" ht="15.75" customHeight="1">
      <c r="A116" s="23"/>
      <c r="C116" s="23"/>
      <c r="E116" s="23"/>
      <c r="F116" s="23"/>
      <c r="G116" s="23"/>
      <c r="H116" s="24"/>
      <c r="I116" s="24"/>
      <c r="J116" s="24"/>
      <c r="K116" s="23"/>
    </row>
    <row r="117" ht="15.75" customHeight="1">
      <c r="A117" s="23"/>
      <c r="C117" s="23"/>
      <c r="E117" s="23"/>
      <c r="F117" s="23"/>
      <c r="G117" s="23"/>
      <c r="H117" s="24"/>
      <c r="I117" s="24"/>
      <c r="J117" s="24"/>
      <c r="K117" s="23"/>
    </row>
    <row r="118" ht="15.75" customHeight="1">
      <c r="A118" s="23"/>
      <c r="C118" s="23"/>
      <c r="E118" s="23"/>
      <c r="F118" s="23"/>
      <c r="G118" s="23"/>
      <c r="H118" s="24"/>
      <c r="I118" s="24"/>
      <c r="J118" s="24"/>
      <c r="K118" s="23"/>
    </row>
    <row r="119" ht="15.75" customHeight="1">
      <c r="A119" s="23"/>
      <c r="C119" s="23"/>
      <c r="E119" s="23"/>
      <c r="F119" s="23"/>
      <c r="G119" s="23"/>
      <c r="H119" s="24"/>
      <c r="I119" s="24"/>
      <c r="J119" s="24"/>
      <c r="K119" s="23"/>
    </row>
    <row r="120" ht="15.75" customHeight="1">
      <c r="A120" s="23"/>
      <c r="C120" s="23"/>
      <c r="E120" s="23"/>
      <c r="F120" s="23"/>
      <c r="G120" s="23"/>
      <c r="H120" s="24"/>
      <c r="I120" s="24"/>
      <c r="J120" s="24"/>
      <c r="K120" s="23"/>
    </row>
    <row r="121" ht="15.75" customHeight="1">
      <c r="A121" s="23"/>
      <c r="C121" s="23"/>
      <c r="E121" s="23"/>
      <c r="F121" s="23"/>
      <c r="G121" s="23"/>
      <c r="H121" s="24"/>
      <c r="I121" s="24"/>
      <c r="J121" s="24"/>
      <c r="K121" s="23"/>
    </row>
    <row r="122" ht="15.75" customHeight="1">
      <c r="A122" s="23"/>
      <c r="C122" s="23"/>
      <c r="E122" s="23"/>
      <c r="F122" s="23"/>
      <c r="G122" s="23"/>
      <c r="H122" s="24"/>
      <c r="I122" s="24"/>
      <c r="J122" s="24"/>
      <c r="K122" s="23"/>
    </row>
    <row r="123" ht="15.75" customHeight="1">
      <c r="A123" s="23"/>
      <c r="C123" s="23"/>
      <c r="E123" s="23"/>
      <c r="F123" s="23"/>
      <c r="G123" s="23"/>
      <c r="H123" s="24"/>
      <c r="I123" s="24"/>
      <c r="J123" s="24"/>
      <c r="K123" s="23"/>
    </row>
    <row r="124" ht="15.75" customHeight="1">
      <c r="A124" s="23"/>
      <c r="C124" s="23"/>
      <c r="E124" s="23"/>
      <c r="F124" s="23"/>
      <c r="G124" s="23"/>
      <c r="H124" s="24"/>
      <c r="I124" s="24"/>
      <c r="J124" s="24"/>
      <c r="K124" s="23"/>
    </row>
    <row r="125" ht="15.75" customHeight="1">
      <c r="A125" s="23"/>
      <c r="C125" s="23"/>
      <c r="E125" s="23"/>
      <c r="F125" s="23"/>
      <c r="G125" s="23"/>
      <c r="H125" s="24"/>
      <c r="I125" s="24"/>
      <c r="J125" s="24"/>
      <c r="K125" s="23"/>
    </row>
    <row r="126" ht="15.75" customHeight="1">
      <c r="A126" s="23"/>
      <c r="C126" s="23"/>
      <c r="E126" s="23"/>
      <c r="F126" s="23"/>
      <c r="G126" s="23"/>
      <c r="H126" s="24"/>
      <c r="I126" s="24"/>
      <c r="J126" s="24"/>
      <c r="K126" s="23"/>
    </row>
    <row r="127" ht="15.75" customHeight="1">
      <c r="A127" s="23"/>
      <c r="C127" s="23"/>
      <c r="E127" s="23"/>
      <c r="F127" s="23"/>
      <c r="G127" s="23"/>
      <c r="H127" s="24"/>
      <c r="I127" s="24"/>
      <c r="J127" s="24"/>
      <c r="K127" s="23"/>
    </row>
    <row r="128" ht="15.75" customHeight="1">
      <c r="A128" s="23"/>
      <c r="C128" s="23"/>
      <c r="E128" s="23"/>
      <c r="F128" s="23"/>
      <c r="G128" s="23"/>
      <c r="H128" s="24"/>
      <c r="I128" s="24"/>
      <c r="J128" s="24"/>
      <c r="K128" s="23"/>
    </row>
    <row r="129" ht="15.75" customHeight="1">
      <c r="A129" s="23"/>
      <c r="C129" s="23"/>
      <c r="E129" s="23"/>
      <c r="F129" s="23"/>
      <c r="G129" s="23"/>
      <c r="H129" s="24"/>
      <c r="I129" s="24"/>
      <c r="J129" s="24"/>
      <c r="K129" s="23"/>
    </row>
    <row r="130" ht="15.75" customHeight="1">
      <c r="A130" s="23"/>
      <c r="C130" s="23"/>
      <c r="E130" s="23"/>
      <c r="F130" s="23"/>
      <c r="G130" s="23"/>
      <c r="H130" s="24"/>
      <c r="I130" s="24"/>
      <c r="J130" s="24"/>
      <c r="K130" s="23"/>
    </row>
    <row r="131" ht="15.75" customHeight="1">
      <c r="A131" s="23"/>
      <c r="C131" s="23"/>
      <c r="E131" s="23"/>
      <c r="F131" s="23"/>
      <c r="G131" s="23"/>
      <c r="H131" s="24"/>
      <c r="I131" s="24"/>
      <c r="J131" s="24"/>
      <c r="K131" s="23"/>
    </row>
    <row r="132" ht="15.75" customHeight="1">
      <c r="A132" s="23"/>
      <c r="C132" s="23"/>
      <c r="E132" s="23"/>
      <c r="F132" s="23"/>
      <c r="G132" s="23"/>
      <c r="H132" s="24"/>
      <c r="I132" s="24"/>
      <c r="J132" s="24"/>
      <c r="K132" s="23"/>
    </row>
    <row r="133" ht="15.75" customHeight="1">
      <c r="A133" s="23"/>
      <c r="C133" s="23"/>
      <c r="E133" s="23"/>
      <c r="F133" s="23"/>
      <c r="G133" s="23"/>
      <c r="H133" s="24"/>
      <c r="I133" s="24"/>
      <c r="J133" s="24"/>
      <c r="K133" s="23"/>
    </row>
    <row r="134" ht="15.75" customHeight="1">
      <c r="A134" s="23"/>
      <c r="C134" s="23"/>
      <c r="E134" s="23"/>
      <c r="F134" s="23"/>
      <c r="G134" s="23"/>
      <c r="H134" s="24"/>
      <c r="I134" s="24"/>
      <c r="J134" s="24"/>
      <c r="K134" s="23"/>
    </row>
    <row r="135" ht="15.75" customHeight="1">
      <c r="A135" s="23"/>
      <c r="C135" s="23"/>
      <c r="E135" s="23"/>
      <c r="F135" s="23"/>
      <c r="G135" s="23"/>
      <c r="H135" s="24"/>
      <c r="I135" s="24"/>
      <c r="J135" s="24"/>
      <c r="K135" s="23"/>
    </row>
    <row r="136" ht="15.75" customHeight="1">
      <c r="A136" s="23"/>
      <c r="C136" s="23"/>
      <c r="E136" s="23"/>
      <c r="F136" s="23"/>
      <c r="G136" s="23"/>
      <c r="H136" s="24"/>
      <c r="I136" s="24"/>
      <c r="J136" s="24"/>
      <c r="K136" s="23"/>
    </row>
    <row r="137" ht="15.75" customHeight="1">
      <c r="A137" s="23"/>
      <c r="C137" s="23"/>
      <c r="E137" s="23"/>
      <c r="F137" s="23"/>
      <c r="G137" s="23"/>
      <c r="H137" s="24"/>
      <c r="I137" s="24"/>
      <c r="J137" s="24"/>
      <c r="K137" s="23"/>
    </row>
    <row r="138" ht="15.75" customHeight="1">
      <c r="A138" s="23"/>
      <c r="C138" s="23"/>
      <c r="E138" s="23"/>
      <c r="F138" s="23"/>
      <c r="G138" s="23"/>
      <c r="H138" s="24"/>
      <c r="I138" s="24"/>
      <c r="J138" s="24"/>
      <c r="K138" s="23"/>
    </row>
    <row r="139" ht="15.75" customHeight="1">
      <c r="A139" s="23"/>
      <c r="C139" s="23"/>
      <c r="E139" s="23"/>
      <c r="F139" s="23"/>
      <c r="G139" s="23"/>
      <c r="H139" s="24"/>
      <c r="I139" s="24"/>
      <c r="J139" s="24"/>
      <c r="K139" s="23"/>
    </row>
    <row r="140" ht="15.75" customHeight="1">
      <c r="A140" s="23"/>
      <c r="C140" s="23"/>
      <c r="E140" s="23"/>
      <c r="F140" s="23"/>
      <c r="G140" s="23"/>
      <c r="H140" s="24"/>
      <c r="I140" s="24"/>
      <c r="J140" s="24"/>
      <c r="K140" s="23"/>
    </row>
    <row r="141" ht="15.75" customHeight="1">
      <c r="A141" s="23"/>
      <c r="C141" s="23"/>
      <c r="E141" s="23"/>
      <c r="F141" s="23"/>
      <c r="G141" s="23"/>
      <c r="H141" s="24"/>
      <c r="I141" s="24"/>
      <c r="J141" s="24"/>
      <c r="K141" s="23"/>
    </row>
    <row r="142" ht="15.75" customHeight="1">
      <c r="A142" s="23"/>
      <c r="C142" s="23"/>
      <c r="E142" s="23"/>
      <c r="F142" s="23"/>
      <c r="G142" s="23"/>
      <c r="H142" s="24"/>
      <c r="I142" s="24"/>
      <c r="J142" s="24"/>
      <c r="K142" s="23"/>
    </row>
    <row r="143" ht="15.75" customHeight="1">
      <c r="A143" s="23"/>
      <c r="C143" s="23"/>
      <c r="E143" s="23"/>
      <c r="F143" s="23"/>
      <c r="G143" s="23"/>
      <c r="H143" s="24"/>
      <c r="I143" s="24"/>
      <c r="J143" s="24"/>
      <c r="K143" s="23"/>
    </row>
    <row r="144" ht="15.75" customHeight="1">
      <c r="A144" s="23"/>
      <c r="C144" s="23"/>
      <c r="E144" s="23"/>
      <c r="F144" s="23"/>
      <c r="G144" s="23"/>
      <c r="H144" s="24"/>
      <c r="I144" s="24"/>
      <c r="J144" s="24"/>
      <c r="K144" s="23"/>
    </row>
    <row r="145" ht="15.75" customHeight="1">
      <c r="A145" s="23"/>
      <c r="C145" s="23"/>
      <c r="E145" s="23"/>
      <c r="F145" s="23"/>
      <c r="G145" s="23"/>
      <c r="H145" s="24"/>
      <c r="I145" s="24"/>
      <c r="J145" s="24"/>
      <c r="K145" s="23"/>
    </row>
    <row r="146" ht="15.75" customHeight="1">
      <c r="A146" s="23"/>
      <c r="C146" s="23"/>
      <c r="E146" s="23"/>
      <c r="F146" s="23"/>
      <c r="G146" s="23"/>
      <c r="H146" s="24"/>
      <c r="I146" s="24"/>
      <c r="J146" s="24"/>
      <c r="K146" s="23"/>
    </row>
    <row r="147" ht="15.75" customHeight="1">
      <c r="A147" s="23"/>
      <c r="C147" s="23"/>
      <c r="E147" s="23"/>
      <c r="F147" s="23"/>
      <c r="G147" s="23"/>
      <c r="H147" s="24"/>
      <c r="I147" s="24"/>
      <c r="J147" s="24"/>
      <c r="K147" s="23"/>
    </row>
    <row r="148" ht="15.75" customHeight="1">
      <c r="A148" s="23"/>
      <c r="C148" s="23"/>
      <c r="E148" s="23"/>
      <c r="F148" s="23"/>
      <c r="G148" s="23"/>
      <c r="H148" s="24"/>
      <c r="I148" s="24"/>
      <c r="J148" s="24"/>
      <c r="K148" s="23"/>
    </row>
    <row r="149" ht="15.75" customHeight="1">
      <c r="A149" s="23"/>
      <c r="C149" s="23"/>
      <c r="E149" s="23"/>
      <c r="F149" s="23"/>
      <c r="G149" s="23"/>
      <c r="H149" s="24"/>
      <c r="I149" s="24"/>
      <c r="J149" s="24"/>
      <c r="K149" s="23"/>
    </row>
    <row r="150" ht="15.75" customHeight="1">
      <c r="A150" s="23"/>
      <c r="C150" s="23"/>
      <c r="E150" s="23"/>
      <c r="F150" s="23"/>
      <c r="G150" s="23"/>
      <c r="H150" s="24"/>
      <c r="I150" s="24"/>
      <c r="J150" s="24"/>
      <c r="K150" s="23"/>
    </row>
    <row r="151" ht="15.75" customHeight="1">
      <c r="A151" s="23"/>
      <c r="C151" s="23"/>
      <c r="E151" s="23"/>
      <c r="F151" s="23"/>
      <c r="G151" s="23"/>
      <c r="H151" s="24"/>
      <c r="I151" s="24"/>
      <c r="J151" s="24"/>
      <c r="K151" s="23"/>
    </row>
    <row r="152" ht="15.75" customHeight="1">
      <c r="A152" s="23"/>
      <c r="C152" s="23"/>
      <c r="E152" s="23"/>
      <c r="F152" s="23"/>
      <c r="G152" s="23"/>
      <c r="H152" s="24"/>
      <c r="I152" s="24"/>
      <c r="J152" s="24"/>
      <c r="K152" s="23"/>
    </row>
    <row r="153" ht="15.75" customHeight="1">
      <c r="A153" s="23"/>
      <c r="C153" s="23"/>
      <c r="E153" s="23"/>
      <c r="F153" s="23"/>
      <c r="G153" s="23"/>
      <c r="H153" s="24"/>
      <c r="I153" s="24"/>
      <c r="J153" s="24"/>
      <c r="K153" s="23"/>
    </row>
    <row r="154" ht="15.75" customHeight="1">
      <c r="A154" s="23"/>
      <c r="C154" s="23"/>
      <c r="E154" s="23"/>
      <c r="F154" s="23"/>
      <c r="G154" s="23"/>
      <c r="H154" s="24"/>
      <c r="I154" s="24"/>
      <c r="J154" s="24"/>
      <c r="K154" s="23"/>
    </row>
    <row r="155" ht="15.75" customHeight="1">
      <c r="A155" s="23"/>
      <c r="C155" s="23"/>
      <c r="E155" s="23"/>
      <c r="F155" s="23"/>
      <c r="G155" s="23"/>
      <c r="H155" s="24"/>
      <c r="I155" s="24"/>
      <c r="J155" s="24"/>
      <c r="K155" s="23"/>
    </row>
    <row r="156" ht="15.75" customHeight="1">
      <c r="A156" s="23"/>
      <c r="C156" s="23"/>
      <c r="E156" s="23"/>
      <c r="F156" s="23"/>
      <c r="G156" s="23"/>
      <c r="H156" s="24"/>
      <c r="I156" s="24"/>
      <c r="J156" s="24"/>
      <c r="K156" s="23"/>
    </row>
    <row r="157" ht="15.75" customHeight="1">
      <c r="A157" s="23"/>
      <c r="C157" s="23"/>
      <c r="E157" s="23"/>
      <c r="F157" s="23"/>
      <c r="G157" s="23"/>
      <c r="H157" s="24"/>
      <c r="I157" s="24"/>
      <c r="J157" s="24"/>
      <c r="K157" s="23"/>
    </row>
    <row r="158" ht="15.75" customHeight="1">
      <c r="A158" s="23"/>
      <c r="C158" s="23"/>
      <c r="E158" s="23"/>
      <c r="F158" s="23"/>
      <c r="G158" s="23"/>
      <c r="H158" s="24"/>
      <c r="I158" s="24"/>
      <c r="J158" s="24"/>
      <c r="K158" s="23"/>
    </row>
    <row r="159" ht="15.75" customHeight="1">
      <c r="A159" s="23"/>
      <c r="C159" s="23"/>
      <c r="E159" s="23"/>
      <c r="F159" s="23"/>
      <c r="G159" s="23"/>
      <c r="H159" s="24"/>
      <c r="I159" s="24"/>
      <c r="J159" s="24"/>
      <c r="K159" s="23"/>
    </row>
    <row r="160" ht="15.75" customHeight="1">
      <c r="A160" s="23"/>
      <c r="C160" s="23"/>
      <c r="E160" s="23"/>
      <c r="F160" s="23"/>
      <c r="G160" s="23"/>
      <c r="H160" s="24"/>
      <c r="I160" s="24"/>
      <c r="J160" s="24"/>
      <c r="K160" s="23"/>
    </row>
    <row r="161" ht="15.75" customHeight="1">
      <c r="A161" s="23"/>
      <c r="C161" s="23"/>
      <c r="E161" s="23"/>
      <c r="F161" s="23"/>
      <c r="G161" s="23"/>
      <c r="H161" s="24"/>
      <c r="I161" s="24"/>
      <c r="J161" s="24"/>
      <c r="K161" s="23"/>
    </row>
    <row r="162" ht="15.75" customHeight="1">
      <c r="A162" s="23"/>
      <c r="C162" s="23"/>
      <c r="E162" s="23"/>
      <c r="F162" s="23"/>
      <c r="G162" s="23"/>
      <c r="H162" s="24"/>
      <c r="I162" s="24"/>
      <c r="J162" s="24"/>
      <c r="K162" s="23"/>
    </row>
    <row r="163" ht="15.75" customHeight="1">
      <c r="A163" s="23"/>
      <c r="C163" s="23"/>
      <c r="E163" s="23"/>
      <c r="F163" s="23"/>
      <c r="G163" s="23"/>
      <c r="H163" s="24"/>
      <c r="I163" s="24"/>
      <c r="J163" s="24"/>
      <c r="K163" s="23"/>
    </row>
    <row r="164" ht="15.75" customHeight="1">
      <c r="A164" s="23"/>
      <c r="C164" s="23"/>
      <c r="E164" s="23"/>
      <c r="F164" s="23"/>
      <c r="G164" s="23"/>
      <c r="H164" s="24"/>
      <c r="I164" s="24"/>
      <c r="J164" s="24"/>
      <c r="K164" s="23"/>
    </row>
    <row r="165" ht="15.75" customHeight="1">
      <c r="A165" s="23"/>
      <c r="C165" s="23"/>
      <c r="E165" s="23"/>
      <c r="F165" s="23"/>
      <c r="G165" s="23"/>
      <c r="H165" s="24"/>
      <c r="I165" s="24"/>
      <c r="J165" s="24"/>
      <c r="K165" s="23"/>
    </row>
    <row r="166" ht="15.75" customHeight="1">
      <c r="A166" s="23"/>
      <c r="C166" s="23"/>
      <c r="E166" s="23"/>
      <c r="F166" s="23"/>
      <c r="G166" s="23"/>
      <c r="H166" s="24"/>
      <c r="I166" s="24"/>
      <c r="J166" s="24"/>
      <c r="K166" s="23"/>
    </row>
    <row r="167" ht="15.75" customHeight="1">
      <c r="A167" s="23"/>
      <c r="C167" s="23"/>
      <c r="E167" s="23"/>
      <c r="F167" s="23"/>
      <c r="G167" s="23"/>
      <c r="H167" s="24"/>
      <c r="I167" s="24"/>
      <c r="J167" s="24"/>
      <c r="K167" s="23"/>
    </row>
    <row r="168" ht="15.75" customHeight="1">
      <c r="A168" s="23"/>
      <c r="C168" s="23"/>
      <c r="E168" s="23"/>
      <c r="F168" s="23"/>
      <c r="G168" s="23"/>
      <c r="H168" s="24"/>
      <c r="I168" s="24"/>
      <c r="J168" s="24"/>
      <c r="K168" s="23"/>
    </row>
    <row r="169" ht="15.75" customHeight="1">
      <c r="A169" s="23"/>
      <c r="C169" s="23"/>
      <c r="E169" s="23"/>
      <c r="F169" s="23"/>
      <c r="G169" s="23"/>
      <c r="H169" s="24"/>
      <c r="I169" s="24"/>
      <c r="J169" s="24"/>
      <c r="K169" s="23"/>
    </row>
    <row r="170" ht="15.75" customHeight="1">
      <c r="A170" s="23"/>
      <c r="C170" s="23"/>
      <c r="E170" s="23"/>
      <c r="F170" s="23"/>
      <c r="G170" s="23"/>
      <c r="H170" s="24"/>
      <c r="I170" s="24"/>
      <c r="J170" s="24"/>
      <c r="K170" s="23"/>
    </row>
    <row r="171" ht="15.75" customHeight="1">
      <c r="A171" s="23"/>
      <c r="C171" s="23"/>
      <c r="E171" s="23"/>
      <c r="F171" s="23"/>
      <c r="G171" s="23"/>
      <c r="H171" s="24"/>
      <c r="I171" s="24"/>
      <c r="J171" s="24"/>
      <c r="K171" s="23"/>
    </row>
    <row r="172" ht="15.75" customHeight="1">
      <c r="A172" s="23"/>
      <c r="C172" s="23"/>
      <c r="E172" s="23"/>
      <c r="F172" s="23"/>
      <c r="G172" s="23"/>
      <c r="H172" s="24"/>
      <c r="I172" s="24"/>
      <c r="J172" s="24"/>
      <c r="K172" s="23"/>
    </row>
    <row r="173" ht="15.75" customHeight="1">
      <c r="A173" s="23"/>
      <c r="C173" s="23"/>
      <c r="E173" s="23"/>
      <c r="F173" s="23"/>
      <c r="G173" s="23"/>
      <c r="H173" s="24"/>
      <c r="I173" s="24"/>
      <c r="J173" s="24"/>
      <c r="K173" s="23"/>
    </row>
    <row r="174" ht="15.75" customHeight="1">
      <c r="A174" s="23"/>
      <c r="C174" s="23"/>
      <c r="E174" s="23"/>
      <c r="F174" s="23"/>
      <c r="G174" s="23"/>
      <c r="H174" s="24"/>
      <c r="I174" s="24"/>
      <c r="J174" s="24"/>
      <c r="K174" s="23"/>
    </row>
    <row r="175" ht="15.75" customHeight="1">
      <c r="A175" s="23"/>
      <c r="C175" s="23"/>
      <c r="E175" s="23"/>
      <c r="F175" s="23"/>
      <c r="G175" s="23"/>
      <c r="H175" s="24"/>
      <c r="I175" s="24"/>
      <c r="J175" s="24"/>
      <c r="K175" s="23"/>
    </row>
    <row r="176" ht="15.75" customHeight="1">
      <c r="A176" s="23"/>
      <c r="C176" s="23"/>
      <c r="E176" s="23"/>
      <c r="F176" s="23"/>
      <c r="G176" s="23"/>
      <c r="H176" s="24"/>
      <c r="I176" s="24"/>
      <c r="J176" s="24"/>
      <c r="K176" s="23"/>
    </row>
    <row r="177" ht="15.75" customHeight="1">
      <c r="A177" s="23"/>
      <c r="C177" s="23"/>
      <c r="E177" s="23"/>
      <c r="F177" s="23"/>
      <c r="G177" s="23"/>
      <c r="H177" s="24"/>
      <c r="I177" s="24"/>
      <c r="J177" s="24"/>
      <c r="K177" s="23"/>
    </row>
    <row r="178" ht="15.75" customHeight="1">
      <c r="A178" s="23"/>
      <c r="C178" s="23"/>
      <c r="E178" s="23"/>
      <c r="F178" s="23"/>
      <c r="G178" s="23"/>
      <c r="H178" s="24"/>
      <c r="I178" s="24"/>
      <c r="J178" s="24"/>
      <c r="K178" s="23"/>
    </row>
    <row r="179" ht="15.75" customHeight="1">
      <c r="A179" s="23"/>
      <c r="C179" s="23"/>
      <c r="E179" s="23"/>
      <c r="F179" s="23"/>
      <c r="G179" s="23"/>
      <c r="H179" s="24"/>
      <c r="I179" s="24"/>
      <c r="J179" s="24"/>
      <c r="K179" s="23"/>
    </row>
    <row r="180" ht="15.75" customHeight="1">
      <c r="A180" s="23"/>
      <c r="C180" s="23"/>
      <c r="E180" s="23"/>
      <c r="F180" s="23"/>
      <c r="G180" s="23"/>
      <c r="H180" s="24"/>
      <c r="I180" s="24"/>
      <c r="J180" s="24"/>
      <c r="K180" s="23"/>
    </row>
    <row r="181" ht="15.75" customHeight="1">
      <c r="A181" s="23"/>
      <c r="C181" s="23"/>
      <c r="E181" s="23"/>
      <c r="F181" s="23"/>
      <c r="G181" s="23"/>
      <c r="H181" s="24"/>
      <c r="I181" s="24"/>
      <c r="J181" s="24"/>
      <c r="K181" s="23"/>
    </row>
    <row r="182" ht="15.75" customHeight="1">
      <c r="A182" s="23"/>
      <c r="C182" s="23"/>
      <c r="E182" s="23"/>
      <c r="F182" s="23"/>
      <c r="G182" s="23"/>
      <c r="H182" s="24"/>
      <c r="I182" s="24"/>
      <c r="J182" s="24"/>
      <c r="K182" s="23"/>
    </row>
    <row r="183" ht="15.75" customHeight="1">
      <c r="A183" s="23"/>
      <c r="C183" s="23"/>
      <c r="E183" s="23"/>
      <c r="F183" s="23"/>
      <c r="G183" s="23"/>
      <c r="H183" s="24"/>
      <c r="I183" s="24"/>
      <c r="J183" s="24"/>
      <c r="K183" s="23"/>
    </row>
    <row r="184" ht="15.75" customHeight="1">
      <c r="A184" s="23"/>
      <c r="C184" s="23"/>
      <c r="E184" s="23"/>
      <c r="F184" s="23"/>
      <c r="G184" s="23"/>
      <c r="H184" s="24"/>
      <c r="I184" s="24"/>
      <c r="J184" s="24"/>
      <c r="K184" s="23"/>
    </row>
    <row r="185" ht="15.75" customHeight="1">
      <c r="A185" s="23"/>
      <c r="C185" s="23"/>
      <c r="E185" s="23"/>
      <c r="F185" s="23"/>
      <c r="G185" s="23"/>
      <c r="H185" s="24"/>
      <c r="I185" s="24"/>
      <c r="J185" s="24"/>
      <c r="K185" s="23"/>
    </row>
    <row r="186" ht="15.75" customHeight="1">
      <c r="A186" s="23"/>
      <c r="C186" s="23"/>
      <c r="E186" s="23"/>
      <c r="F186" s="23"/>
      <c r="G186" s="23"/>
      <c r="H186" s="24"/>
      <c r="I186" s="24"/>
      <c r="J186" s="24"/>
      <c r="K186" s="23"/>
    </row>
    <row r="187" ht="15.75" customHeight="1">
      <c r="A187" s="23"/>
      <c r="C187" s="23"/>
      <c r="E187" s="23"/>
      <c r="F187" s="23"/>
      <c r="G187" s="23"/>
      <c r="H187" s="24"/>
      <c r="I187" s="24"/>
      <c r="J187" s="24"/>
      <c r="K187" s="23"/>
    </row>
    <row r="188" ht="15.75" customHeight="1">
      <c r="A188" s="23"/>
      <c r="C188" s="23"/>
      <c r="E188" s="23"/>
      <c r="F188" s="23"/>
      <c r="G188" s="23"/>
      <c r="H188" s="24"/>
      <c r="I188" s="24"/>
      <c r="J188" s="24"/>
      <c r="K188" s="23"/>
    </row>
    <row r="189" ht="15.75" customHeight="1">
      <c r="A189" s="23"/>
      <c r="C189" s="23"/>
      <c r="E189" s="23"/>
      <c r="F189" s="23"/>
      <c r="G189" s="23"/>
      <c r="H189" s="24"/>
      <c r="I189" s="24"/>
      <c r="J189" s="24"/>
      <c r="K189" s="23"/>
    </row>
    <row r="190" ht="15.75" customHeight="1">
      <c r="A190" s="23"/>
      <c r="C190" s="23"/>
      <c r="E190" s="23"/>
      <c r="F190" s="23"/>
      <c r="G190" s="23"/>
      <c r="H190" s="24"/>
      <c r="I190" s="24"/>
      <c r="J190" s="24"/>
      <c r="K190" s="23"/>
    </row>
    <row r="191" ht="15.75" customHeight="1">
      <c r="A191" s="23"/>
      <c r="C191" s="23"/>
      <c r="E191" s="23"/>
      <c r="F191" s="23"/>
      <c r="G191" s="23"/>
      <c r="H191" s="24"/>
      <c r="I191" s="24"/>
      <c r="J191" s="24"/>
      <c r="K191" s="23"/>
    </row>
    <row r="192" ht="15.75" customHeight="1">
      <c r="A192" s="23"/>
      <c r="C192" s="23"/>
      <c r="E192" s="23"/>
      <c r="F192" s="23"/>
      <c r="G192" s="23"/>
      <c r="H192" s="24"/>
      <c r="I192" s="24"/>
      <c r="J192" s="24"/>
      <c r="K192" s="23"/>
    </row>
    <row r="193" ht="15.75" customHeight="1">
      <c r="A193" s="23"/>
      <c r="C193" s="23"/>
      <c r="E193" s="23"/>
      <c r="F193" s="23"/>
      <c r="G193" s="23"/>
      <c r="H193" s="24"/>
      <c r="I193" s="24"/>
      <c r="J193" s="24"/>
      <c r="K193" s="23"/>
    </row>
    <row r="194" ht="15.75" customHeight="1">
      <c r="A194" s="23"/>
      <c r="C194" s="23"/>
      <c r="E194" s="23"/>
      <c r="F194" s="23"/>
      <c r="G194" s="23"/>
      <c r="H194" s="24"/>
      <c r="I194" s="24"/>
      <c r="J194" s="24"/>
      <c r="K194" s="23"/>
    </row>
    <row r="195" ht="15.75" customHeight="1">
      <c r="A195" s="23"/>
      <c r="C195" s="23"/>
      <c r="E195" s="23"/>
      <c r="F195" s="23"/>
      <c r="G195" s="23"/>
      <c r="H195" s="24"/>
      <c r="I195" s="24"/>
      <c r="J195" s="24"/>
      <c r="K195" s="23"/>
    </row>
    <row r="196" ht="15.75" customHeight="1">
      <c r="A196" s="23"/>
      <c r="C196" s="23"/>
      <c r="E196" s="23"/>
      <c r="F196" s="23"/>
      <c r="G196" s="23"/>
      <c r="H196" s="24"/>
      <c r="I196" s="24"/>
      <c r="J196" s="24"/>
      <c r="K196" s="23"/>
    </row>
    <row r="197" ht="15.75" customHeight="1">
      <c r="A197" s="23"/>
      <c r="C197" s="23"/>
      <c r="E197" s="23"/>
      <c r="F197" s="23"/>
      <c r="G197" s="23"/>
      <c r="H197" s="24"/>
      <c r="I197" s="24"/>
      <c r="J197" s="24"/>
      <c r="K197" s="23"/>
    </row>
    <row r="198" ht="15.75" customHeight="1">
      <c r="A198" s="23"/>
      <c r="C198" s="23"/>
      <c r="E198" s="23"/>
      <c r="F198" s="23"/>
      <c r="G198" s="23"/>
      <c r="H198" s="24"/>
      <c r="I198" s="24"/>
      <c r="J198" s="24"/>
      <c r="K198" s="23"/>
    </row>
    <row r="199" ht="15.75" customHeight="1">
      <c r="A199" s="23"/>
      <c r="C199" s="23"/>
      <c r="E199" s="23"/>
      <c r="F199" s="23"/>
      <c r="G199" s="23"/>
      <c r="H199" s="24"/>
      <c r="I199" s="24"/>
      <c r="J199" s="24"/>
      <c r="K199" s="23"/>
    </row>
    <row r="200" ht="15.75" customHeight="1">
      <c r="A200" s="23"/>
      <c r="C200" s="23"/>
      <c r="E200" s="23"/>
      <c r="F200" s="23"/>
      <c r="G200" s="23"/>
      <c r="H200" s="24"/>
      <c r="I200" s="24"/>
      <c r="J200" s="24"/>
      <c r="K200" s="23"/>
    </row>
    <row r="201" ht="15.75" customHeight="1">
      <c r="A201" s="23"/>
      <c r="C201" s="23"/>
      <c r="E201" s="23"/>
      <c r="F201" s="23"/>
      <c r="G201" s="23"/>
      <c r="H201" s="24"/>
      <c r="I201" s="24"/>
      <c r="J201" s="24"/>
      <c r="K201" s="23"/>
    </row>
    <row r="202" ht="15.75" customHeight="1">
      <c r="A202" s="23"/>
      <c r="C202" s="23"/>
      <c r="E202" s="23"/>
      <c r="F202" s="23"/>
      <c r="G202" s="23"/>
      <c r="H202" s="24"/>
      <c r="I202" s="24"/>
      <c r="J202" s="24"/>
      <c r="K202" s="23"/>
    </row>
    <row r="203" ht="15.75" customHeight="1">
      <c r="A203" s="23"/>
      <c r="C203" s="23"/>
      <c r="E203" s="23"/>
      <c r="F203" s="23"/>
      <c r="G203" s="23"/>
      <c r="H203" s="24"/>
      <c r="I203" s="24"/>
      <c r="J203" s="24"/>
      <c r="K203" s="23"/>
    </row>
    <row r="204" ht="15.75" customHeight="1">
      <c r="A204" s="23"/>
      <c r="C204" s="23"/>
      <c r="E204" s="23"/>
      <c r="F204" s="23"/>
      <c r="G204" s="23"/>
      <c r="H204" s="24"/>
      <c r="I204" s="24"/>
      <c r="J204" s="24"/>
      <c r="K204" s="23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04"/>
  <mergeCells count="3">
    <mergeCell ref="A1:L1"/>
    <mergeCell ref="A2:L2"/>
    <mergeCell ref="A3:L3"/>
  </mergeCells>
  <dataValidations>
    <dataValidation type="list" allowBlank="1" showInputMessage="1" showErrorMessage="1" prompt="Тип источника" sqref="C5:C204">
      <formula1>'Система'!$I$33:$I$40</formula1>
    </dataValidation>
    <dataValidation type="list" allowBlank="1" showInputMessage="1" showErrorMessage="1" prompt="Минимальный статус доверия" sqref="G5:G204">
      <formula1>'Система'!$A$33:$A$38</formula1>
    </dataValidation>
    <dataValidation type="list" allowBlank="1" showInputMessage="1" showErrorMessage="1" prompt="Авторитетность источника" sqref="E5:E204">
      <formula1>'Система'!$R$33:$R$38</formula1>
    </dataValidation>
    <dataValidation type="list" allowBlank="1" showInputMessage="1" showErrorMessage="1" prompt="Владелец источника" sqref="F5:F204">
      <formula1>'Система'!$AC$33:$AC$232</formula1>
    </dataValidation>
    <dataValidation type="custom" allowBlank="1" showDropDown="1" showInputMessage="1" showErrorMessage="1" prompt="Стабильный ID формата src-..." sqref="A5:A204">
      <formula1>OR(A5="",REGEXMATCH(A5,"^src-[A-Za-z0-9._-]+$"))</formula1>
    </dataValidation>
    <dataValidation type="list" allowBlank="1" showInputMessage="1" showErrorMessage="1" prompt="Активен ли источник" sqref="K5:K204">
      <formula1>'Система'!$K$33:$K$34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5.0"/>
    <col customWidth="1" min="4" max="4" width="20.0"/>
    <col customWidth="1" min="5" max="6" width="15.0"/>
    <col customWidth="1" min="7" max="7" width="12.25"/>
    <col customWidth="1" min="8" max="8" width="15.0"/>
    <col customWidth="1" min="9" max="9" width="31.13"/>
    <col customWidth="1" min="10" max="12" width="15.0"/>
    <col customWidth="1" min="13" max="13" width="31.13"/>
    <col customWidth="1" min="14" max="26" width="8.63"/>
  </cols>
  <sheetData>
    <row r="1" ht="25.5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2.5" customHeight="1">
      <c r="A2" s="4" t="s">
        <v>432</v>
      </c>
    </row>
    <row r="3" ht="19.5" customHeight="1">
      <c r="A3" s="7" t="s">
        <v>8</v>
      </c>
    </row>
    <row r="4" ht="39.0" customHeight="1">
      <c r="A4" s="10" t="s">
        <v>433</v>
      </c>
      <c r="B4" s="10" t="s">
        <v>434</v>
      </c>
      <c r="C4" s="10" t="s">
        <v>435</v>
      </c>
      <c r="D4" s="10" t="s">
        <v>436</v>
      </c>
      <c r="E4" s="10" t="s">
        <v>438</v>
      </c>
      <c r="F4" s="10" t="s">
        <v>439</v>
      </c>
      <c r="G4" s="13" t="s">
        <v>440</v>
      </c>
      <c r="H4" s="13" t="s">
        <v>441</v>
      </c>
      <c r="I4" s="13" t="s">
        <v>442</v>
      </c>
      <c r="J4" s="13" t="s">
        <v>443</v>
      </c>
      <c r="K4" s="10" t="s">
        <v>444</v>
      </c>
      <c r="L4" s="10" t="s">
        <v>38</v>
      </c>
      <c r="M4" s="13" t="s">
        <v>52</v>
      </c>
    </row>
    <row r="5">
      <c r="A5" s="23"/>
      <c r="B5" s="23"/>
      <c r="C5" s="23"/>
      <c r="E5" s="23"/>
      <c r="F5" s="23"/>
      <c r="G5" s="24"/>
      <c r="H5" s="23"/>
      <c r="J5" s="23"/>
      <c r="K5" s="23"/>
      <c r="L5" s="23"/>
    </row>
    <row r="6">
      <c r="A6" s="23"/>
      <c r="B6" s="23"/>
      <c r="C6" s="23"/>
      <c r="E6" s="23"/>
      <c r="F6" s="23"/>
      <c r="G6" s="24"/>
      <c r="H6" s="23"/>
      <c r="J6" s="23"/>
      <c r="K6" s="23"/>
      <c r="L6" s="23"/>
    </row>
    <row r="7">
      <c r="A7" s="23"/>
      <c r="B7" s="23"/>
      <c r="C7" s="23"/>
      <c r="E7" s="23"/>
      <c r="F7" s="23"/>
      <c r="G7" s="24"/>
      <c r="H7" s="23"/>
      <c r="J7" s="23"/>
      <c r="K7" s="23"/>
      <c r="L7" s="23"/>
    </row>
    <row r="8">
      <c r="A8" s="23"/>
      <c r="B8" s="23"/>
      <c r="C8" s="23"/>
      <c r="E8" s="23"/>
      <c r="F8" s="23"/>
      <c r="G8" s="24"/>
      <c r="H8" s="23"/>
      <c r="J8" s="23"/>
      <c r="K8" s="23"/>
      <c r="L8" s="23"/>
    </row>
    <row r="9">
      <c r="A9" s="23"/>
      <c r="B9" s="23"/>
      <c r="C9" s="23"/>
      <c r="E9" s="23"/>
      <c r="F9" s="23"/>
      <c r="G9" s="24"/>
      <c r="H9" s="23"/>
      <c r="J9" s="23"/>
      <c r="K9" s="23"/>
      <c r="L9" s="23"/>
    </row>
    <row r="10">
      <c r="A10" s="23"/>
      <c r="B10" s="23"/>
      <c r="C10" s="23"/>
      <c r="E10" s="23"/>
      <c r="F10" s="23"/>
      <c r="G10" s="24"/>
      <c r="H10" s="23"/>
      <c r="J10" s="23"/>
      <c r="K10" s="23"/>
      <c r="L10" s="23"/>
    </row>
    <row r="11">
      <c r="A11" s="23"/>
      <c r="B11" s="23"/>
      <c r="C11" s="23"/>
      <c r="E11" s="23"/>
      <c r="F11" s="23"/>
      <c r="G11" s="24"/>
      <c r="H11" s="23"/>
      <c r="J11" s="23"/>
      <c r="K11" s="23"/>
      <c r="L11" s="23"/>
    </row>
    <row r="12">
      <c r="A12" s="23"/>
      <c r="B12" s="23"/>
      <c r="C12" s="23"/>
      <c r="E12" s="23"/>
      <c r="F12" s="23"/>
      <c r="G12" s="24"/>
      <c r="H12" s="23"/>
      <c r="J12" s="23"/>
      <c r="K12" s="23"/>
      <c r="L12" s="23"/>
    </row>
    <row r="13">
      <c r="A13" s="23"/>
      <c r="B13" s="23"/>
      <c r="C13" s="23"/>
      <c r="E13" s="23"/>
      <c r="F13" s="23"/>
      <c r="G13" s="24"/>
      <c r="H13" s="23"/>
      <c r="J13" s="23"/>
      <c r="K13" s="23"/>
      <c r="L13" s="23"/>
    </row>
    <row r="14">
      <c r="A14" s="23"/>
      <c r="B14" s="23"/>
      <c r="C14" s="23"/>
      <c r="E14" s="23"/>
      <c r="F14" s="23"/>
      <c r="G14" s="24"/>
      <c r="H14" s="23"/>
      <c r="J14" s="23"/>
      <c r="K14" s="23"/>
      <c r="L14" s="23"/>
    </row>
    <row r="15">
      <c r="A15" s="23"/>
      <c r="B15" s="23"/>
      <c r="C15" s="23"/>
      <c r="E15" s="23"/>
      <c r="F15" s="23"/>
      <c r="G15" s="24"/>
      <c r="H15" s="23"/>
      <c r="J15" s="23"/>
      <c r="K15" s="23"/>
      <c r="L15" s="23"/>
    </row>
    <row r="16">
      <c r="A16" s="23"/>
      <c r="B16" s="23"/>
      <c r="C16" s="23"/>
      <c r="E16" s="23"/>
      <c r="F16" s="23"/>
      <c r="G16" s="24"/>
      <c r="H16" s="23"/>
      <c r="J16" s="23"/>
      <c r="K16" s="23"/>
      <c r="L16" s="23"/>
    </row>
    <row r="17">
      <c r="A17" s="23"/>
      <c r="B17" s="23"/>
      <c r="C17" s="23"/>
      <c r="E17" s="23"/>
      <c r="F17" s="23"/>
      <c r="G17" s="24"/>
      <c r="H17" s="23"/>
      <c r="J17" s="23"/>
      <c r="K17" s="23"/>
      <c r="L17" s="23"/>
    </row>
    <row r="18">
      <c r="A18" s="23"/>
      <c r="B18" s="23"/>
      <c r="C18" s="23"/>
      <c r="E18" s="23"/>
      <c r="F18" s="23"/>
      <c r="G18" s="24"/>
      <c r="H18" s="23"/>
      <c r="J18" s="23"/>
      <c r="K18" s="23"/>
      <c r="L18" s="23"/>
    </row>
    <row r="19">
      <c r="A19" s="23"/>
      <c r="B19" s="23"/>
      <c r="C19" s="23"/>
      <c r="E19" s="23"/>
      <c r="F19" s="23"/>
      <c r="G19" s="24"/>
      <c r="H19" s="23"/>
      <c r="J19" s="23"/>
      <c r="K19" s="23"/>
      <c r="L19" s="23"/>
    </row>
    <row r="20">
      <c r="A20" s="23"/>
      <c r="B20" s="23"/>
      <c r="C20" s="23"/>
      <c r="E20" s="23"/>
      <c r="F20" s="23"/>
      <c r="G20" s="24"/>
      <c r="H20" s="23"/>
      <c r="J20" s="23"/>
      <c r="K20" s="23"/>
      <c r="L20" s="23"/>
    </row>
    <row r="21" ht="15.75" customHeight="1">
      <c r="A21" s="23"/>
      <c r="B21" s="23"/>
      <c r="C21" s="23"/>
      <c r="E21" s="23"/>
      <c r="F21" s="23"/>
      <c r="G21" s="24"/>
      <c r="H21" s="23"/>
      <c r="J21" s="23"/>
      <c r="K21" s="23"/>
      <c r="L21" s="23"/>
    </row>
    <row r="22" ht="15.75" customHeight="1">
      <c r="A22" s="23"/>
      <c r="B22" s="23"/>
      <c r="C22" s="23"/>
      <c r="E22" s="23"/>
      <c r="F22" s="23"/>
      <c r="G22" s="24"/>
      <c r="H22" s="23"/>
      <c r="J22" s="23"/>
      <c r="K22" s="23"/>
      <c r="L22" s="23"/>
    </row>
    <row r="23" ht="15.75" customHeight="1">
      <c r="A23" s="23"/>
      <c r="B23" s="23"/>
      <c r="C23" s="23"/>
      <c r="E23" s="23"/>
      <c r="F23" s="23"/>
      <c r="G23" s="24"/>
      <c r="H23" s="23"/>
      <c r="J23" s="23"/>
      <c r="K23" s="23"/>
      <c r="L23" s="23"/>
    </row>
    <row r="24" ht="15.75" customHeight="1">
      <c r="A24" s="23"/>
      <c r="B24" s="23"/>
      <c r="C24" s="23"/>
      <c r="E24" s="23"/>
      <c r="F24" s="23"/>
      <c r="G24" s="24"/>
      <c r="H24" s="23"/>
      <c r="J24" s="23"/>
      <c r="K24" s="23"/>
      <c r="L24" s="23"/>
    </row>
    <row r="25" ht="15.75" customHeight="1">
      <c r="A25" s="23"/>
      <c r="B25" s="23"/>
      <c r="C25" s="23"/>
      <c r="E25" s="23"/>
      <c r="F25" s="23"/>
      <c r="G25" s="24"/>
      <c r="H25" s="23"/>
      <c r="J25" s="23"/>
      <c r="K25" s="23"/>
      <c r="L25" s="23"/>
    </row>
    <row r="26" ht="15.75" customHeight="1">
      <c r="A26" s="23"/>
      <c r="B26" s="23"/>
      <c r="C26" s="23"/>
      <c r="E26" s="23"/>
      <c r="F26" s="23"/>
      <c r="G26" s="24"/>
      <c r="H26" s="23"/>
      <c r="J26" s="23"/>
      <c r="K26" s="23"/>
      <c r="L26" s="23"/>
    </row>
    <row r="27" ht="15.75" customHeight="1">
      <c r="A27" s="23"/>
      <c r="B27" s="23"/>
      <c r="C27" s="23"/>
      <c r="E27" s="23"/>
      <c r="F27" s="23"/>
      <c r="G27" s="24"/>
      <c r="H27" s="23"/>
      <c r="J27" s="23"/>
      <c r="K27" s="23"/>
      <c r="L27" s="23"/>
    </row>
    <row r="28" ht="15.75" customHeight="1">
      <c r="A28" s="23"/>
      <c r="B28" s="23"/>
      <c r="C28" s="23"/>
      <c r="E28" s="23"/>
      <c r="F28" s="23"/>
      <c r="G28" s="24"/>
      <c r="H28" s="23"/>
      <c r="J28" s="23"/>
      <c r="K28" s="23"/>
      <c r="L28" s="23"/>
    </row>
    <row r="29" ht="15.75" customHeight="1">
      <c r="A29" s="23"/>
      <c r="B29" s="23"/>
      <c r="C29" s="23"/>
      <c r="E29" s="23"/>
      <c r="F29" s="23"/>
      <c r="G29" s="24"/>
      <c r="H29" s="23"/>
      <c r="J29" s="23"/>
      <c r="K29" s="23"/>
      <c r="L29" s="23"/>
    </row>
    <row r="30" ht="15.75" customHeight="1">
      <c r="A30" s="23"/>
      <c r="B30" s="23"/>
      <c r="C30" s="23"/>
      <c r="E30" s="23"/>
      <c r="F30" s="23"/>
      <c r="G30" s="24"/>
      <c r="H30" s="23"/>
      <c r="J30" s="23"/>
      <c r="K30" s="23"/>
      <c r="L30" s="23"/>
    </row>
    <row r="31" ht="15.75" customHeight="1">
      <c r="A31" s="23"/>
      <c r="B31" s="23"/>
      <c r="C31" s="23"/>
      <c r="E31" s="23"/>
      <c r="F31" s="23"/>
      <c r="G31" s="24"/>
      <c r="H31" s="23"/>
      <c r="J31" s="23"/>
      <c r="K31" s="23"/>
      <c r="L31" s="23"/>
    </row>
    <row r="32" ht="15.75" customHeight="1">
      <c r="A32" s="23"/>
      <c r="B32" s="23"/>
      <c r="C32" s="23"/>
      <c r="E32" s="23"/>
      <c r="F32" s="23"/>
      <c r="G32" s="24"/>
      <c r="H32" s="23"/>
      <c r="J32" s="23"/>
      <c r="K32" s="23"/>
      <c r="L32" s="23"/>
    </row>
    <row r="33" ht="15.75" customHeight="1">
      <c r="A33" s="23"/>
      <c r="B33" s="23"/>
      <c r="C33" s="23"/>
      <c r="E33" s="23"/>
      <c r="F33" s="23"/>
      <c r="G33" s="24"/>
      <c r="H33" s="23"/>
      <c r="J33" s="23"/>
      <c r="K33" s="23"/>
      <c r="L33" s="23"/>
    </row>
    <row r="34" ht="15.75" customHeight="1">
      <c r="A34" s="23"/>
      <c r="B34" s="23"/>
      <c r="C34" s="23"/>
      <c r="E34" s="23"/>
      <c r="F34" s="23"/>
      <c r="G34" s="24"/>
      <c r="H34" s="23"/>
      <c r="J34" s="23"/>
      <c r="K34" s="23"/>
      <c r="L34" s="23"/>
    </row>
    <row r="35" ht="15.75" customHeight="1">
      <c r="A35" s="23"/>
      <c r="B35" s="23"/>
      <c r="C35" s="23"/>
      <c r="E35" s="23"/>
      <c r="F35" s="23"/>
      <c r="G35" s="24"/>
      <c r="H35" s="23"/>
      <c r="J35" s="23"/>
      <c r="K35" s="23"/>
      <c r="L35" s="23"/>
    </row>
    <row r="36" ht="15.75" customHeight="1">
      <c r="A36" s="23"/>
      <c r="B36" s="23"/>
      <c r="C36" s="23"/>
      <c r="E36" s="23"/>
      <c r="F36" s="23"/>
      <c r="G36" s="24"/>
      <c r="H36" s="23"/>
      <c r="J36" s="23"/>
      <c r="K36" s="23"/>
      <c r="L36" s="23"/>
    </row>
    <row r="37" ht="15.75" customHeight="1">
      <c r="A37" s="23"/>
      <c r="B37" s="23"/>
      <c r="C37" s="23"/>
      <c r="E37" s="23"/>
      <c r="F37" s="23"/>
      <c r="G37" s="24"/>
      <c r="H37" s="23"/>
      <c r="J37" s="23"/>
      <c r="K37" s="23"/>
      <c r="L37" s="23"/>
    </row>
    <row r="38" ht="15.75" customHeight="1">
      <c r="A38" s="23"/>
      <c r="B38" s="23"/>
      <c r="C38" s="23"/>
      <c r="E38" s="23"/>
      <c r="F38" s="23"/>
      <c r="G38" s="24"/>
      <c r="H38" s="23"/>
      <c r="J38" s="23"/>
      <c r="K38" s="23"/>
      <c r="L38" s="23"/>
    </row>
    <row r="39" ht="15.75" customHeight="1">
      <c r="A39" s="23"/>
      <c r="B39" s="23"/>
      <c r="C39" s="23"/>
      <c r="E39" s="23"/>
      <c r="F39" s="23"/>
      <c r="G39" s="24"/>
      <c r="H39" s="23"/>
      <c r="J39" s="23"/>
      <c r="K39" s="23"/>
      <c r="L39" s="23"/>
    </row>
    <row r="40" ht="15.75" customHeight="1">
      <c r="A40" s="23"/>
      <c r="B40" s="23"/>
      <c r="C40" s="23"/>
      <c r="E40" s="23"/>
      <c r="F40" s="23"/>
      <c r="G40" s="24"/>
      <c r="H40" s="23"/>
      <c r="J40" s="23"/>
      <c r="K40" s="23"/>
      <c r="L40" s="23"/>
    </row>
    <row r="41" ht="15.75" customHeight="1">
      <c r="A41" s="23"/>
      <c r="B41" s="23"/>
      <c r="C41" s="23"/>
      <c r="E41" s="23"/>
      <c r="F41" s="23"/>
      <c r="G41" s="24"/>
      <c r="H41" s="23"/>
      <c r="J41" s="23"/>
      <c r="K41" s="23"/>
      <c r="L41" s="23"/>
    </row>
    <row r="42" ht="15.75" customHeight="1">
      <c r="A42" s="23"/>
      <c r="B42" s="23"/>
      <c r="C42" s="23"/>
      <c r="E42" s="23"/>
      <c r="F42" s="23"/>
      <c r="G42" s="24"/>
      <c r="H42" s="23"/>
      <c r="J42" s="23"/>
      <c r="K42" s="23"/>
      <c r="L42" s="23"/>
    </row>
    <row r="43" ht="15.75" customHeight="1">
      <c r="A43" s="23"/>
      <c r="B43" s="23"/>
      <c r="C43" s="23"/>
      <c r="E43" s="23"/>
      <c r="F43" s="23"/>
      <c r="G43" s="24"/>
      <c r="H43" s="23"/>
      <c r="J43" s="23"/>
      <c r="K43" s="23"/>
      <c r="L43" s="23"/>
    </row>
    <row r="44" ht="15.75" customHeight="1">
      <c r="A44" s="23"/>
      <c r="B44" s="23"/>
      <c r="C44" s="23"/>
      <c r="E44" s="23"/>
      <c r="F44" s="23"/>
      <c r="G44" s="24"/>
      <c r="H44" s="23"/>
      <c r="J44" s="23"/>
      <c r="K44" s="23"/>
      <c r="L44" s="23"/>
    </row>
    <row r="45" ht="15.75" customHeight="1">
      <c r="A45" s="23"/>
      <c r="B45" s="23"/>
      <c r="C45" s="23"/>
      <c r="E45" s="23"/>
      <c r="F45" s="23"/>
      <c r="G45" s="24"/>
      <c r="H45" s="23"/>
      <c r="J45" s="23"/>
      <c r="K45" s="23"/>
      <c r="L45" s="23"/>
    </row>
    <row r="46" ht="15.75" customHeight="1">
      <c r="A46" s="23"/>
      <c r="B46" s="23"/>
      <c r="C46" s="23"/>
      <c r="E46" s="23"/>
      <c r="F46" s="23"/>
      <c r="G46" s="24"/>
      <c r="H46" s="23"/>
      <c r="J46" s="23"/>
      <c r="K46" s="23"/>
      <c r="L46" s="23"/>
    </row>
    <row r="47" ht="15.75" customHeight="1">
      <c r="A47" s="23"/>
      <c r="B47" s="23"/>
      <c r="C47" s="23"/>
      <c r="E47" s="23"/>
      <c r="F47" s="23"/>
      <c r="G47" s="24"/>
      <c r="H47" s="23"/>
      <c r="J47" s="23"/>
      <c r="K47" s="23"/>
      <c r="L47" s="23"/>
    </row>
    <row r="48" ht="15.75" customHeight="1">
      <c r="A48" s="23"/>
      <c r="B48" s="23"/>
      <c r="C48" s="23"/>
      <c r="E48" s="23"/>
      <c r="F48" s="23"/>
      <c r="G48" s="24"/>
      <c r="H48" s="23"/>
      <c r="J48" s="23"/>
      <c r="K48" s="23"/>
      <c r="L48" s="23"/>
    </row>
    <row r="49" ht="15.75" customHeight="1">
      <c r="A49" s="23"/>
      <c r="B49" s="23"/>
      <c r="C49" s="23"/>
      <c r="E49" s="23"/>
      <c r="F49" s="23"/>
      <c r="G49" s="24"/>
      <c r="H49" s="23"/>
      <c r="J49" s="23"/>
      <c r="K49" s="23"/>
      <c r="L49" s="23"/>
    </row>
    <row r="50" ht="15.75" customHeight="1">
      <c r="A50" s="23"/>
      <c r="B50" s="23"/>
      <c r="C50" s="23"/>
      <c r="E50" s="23"/>
      <c r="F50" s="23"/>
      <c r="G50" s="24"/>
      <c r="H50" s="23"/>
      <c r="J50" s="23"/>
      <c r="K50" s="23"/>
      <c r="L50" s="23"/>
    </row>
    <row r="51" ht="15.75" customHeight="1">
      <c r="A51" s="23"/>
      <c r="B51" s="23"/>
      <c r="C51" s="23"/>
      <c r="E51" s="23"/>
      <c r="F51" s="23"/>
      <c r="G51" s="24"/>
      <c r="H51" s="23"/>
      <c r="J51" s="23"/>
      <c r="K51" s="23"/>
      <c r="L51" s="23"/>
    </row>
    <row r="52" ht="15.75" customHeight="1">
      <c r="A52" s="23"/>
      <c r="B52" s="23"/>
      <c r="C52" s="23"/>
      <c r="E52" s="23"/>
      <c r="F52" s="23"/>
      <c r="G52" s="24"/>
      <c r="H52" s="23"/>
      <c r="J52" s="23"/>
      <c r="K52" s="23"/>
      <c r="L52" s="23"/>
    </row>
    <row r="53" ht="15.75" customHeight="1">
      <c r="A53" s="23"/>
      <c r="B53" s="23"/>
      <c r="C53" s="23"/>
      <c r="E53" s="23"/>
      <c r="F53" s="23"/>
      <c r="G53" s="24"/>
      <c r="H53" s="23"/>
      <c r="J53" s="23"/>
      <c r="K53" s="23"/>
      <c r="L53" s="23"/>
    </row>
    <row r="54" ht="15.75" customHeight="1">
      <c r="A54" s="23"/>
      <c r="B54" s="23"/>
      <c r="C54" s="23"/>
      <c r="E54" s="23"/>
      <c r="F54" s="23"/>
      <c r="G54" s="24"/>
      <c r="H54" s="23"/>
      <c r="J54" s="23"/>
      <c r="K54" s="23"/>
      <c r="L54" s="23"/>
    </row>
    <row r="55" ht="15.75" customHeight="1">
      <c r="A55" s="23"/>
      <c r="B55" s="23"/>
      <c r="C55" s="23"/>
      <c r="E55" s="23"/>
      <c r="F55" s="23"/>
      <c r="G55" s="24"/>
      <c r="H55" s="23"/>
      <c r="J55" s="23"/>
      <c r="K55" s="23"/>
      <c r="L55" s="23"/>
    </row>
    <row r="56" ht="15.75" customHeight="1">
      <c r="A56" s="23"/>
      <c r="B56" s="23"/>
      <c r="C56" s="23"/>
      <c r="E56" s="23"/>
      <c r="F56" s="23"/>
      <c r="G56" s="24"/>
      <c r="H56" s="23"/>
      <c r="J56" s="23"/>
      <c r="K56" s="23"/>
      <c r="L56" s="23"/>
    </row>
    <row r="57" ht="15.75" customHeight="1">
      <c r="A57" s="23"/>
      <c r="B57" s="23"/>
      <c r="C57" s="23"/>
      <c r="E57" s="23"/>
      <c r="F57" s="23"/>
      <c r="G57" s="24"/>
      <c r="H57" s="23"/>
      <c r="J57" s="23"/>
      <c r="K57" s="23"/>
      <c r="L57" s="23"/>
    </row>
    <row r="58" ht="15.75" customHeight="1">
      <c r="A58" s="23"/>
      <c r="B58" s="23"/>
      <c r="C58" s="23"/>
      <c r="E58" s="23"/>
      <c r="F58" s="23"/>
      <c r="G58" s="24"/>
      <c r="H58" s="23"/>
      <c r="J58" s="23"/>
      <c r="K58" s="23"/>
      <c r="L58" s="23"/>
    </row>
    <row r="59" ht="15.75" customHeight="1">
      <c r="A59" s="23"/>
      <c r="B59" s="23"/>
      <c r="C59" s="23"/>
      <c r="E59" s="23"/>
      <c r="F59" s="23"/>
      <c r="G59" s="24"/>
      <c r="H59" s="23"/>
      <c r="J59" s="23"/>
      <c r="K59" s="23"/>
      <c r="L59" s="23"/>
    </row>
    <row r="60" ht="15.75" customHeight="1">
      <c r="A60" s="23"/>
      <c r="B60" s="23"/>
      <c r="C60" s="23"/>
      <c r="E60" s="23"/>
      <c r="F60" s="23"/>
      <c r="G60" s="24"/>
      <c r="H60" s="23"/>
      <c r="J60" s="23"/>
      <c r="K60" s="23"/>
      <c r="L60" s="23"/>
    </row>
    <row r="61" ht="15.75" customHeight="1">
      <c r="A61" s="23"/>
      <c r="B61" s="23"/>
      <c r="C61" s="23"/>
      <c r="E61" s="23"/>
      <c r="F61" s="23"/>
      <c r="G61" s="24"/>
      <c r="H61" s="23"/>
      <c r="J61" s="23"/>
      <c r="K61" s="23"/>
      <c r="L61" s="23"/>
    </row>
    <row r="62" ht="15.75" customHeight="1">
      <c r="A62" s="23"/>
      <c r="B62" s="23"/>
      <c r="C62" s="23"/>
      <c r="E62" s="23"/>
      <c r="F62" s="23"/>
      <c r="G62" s="24"/>
      <c r="H62" s="23"/>
      <c r="J62" s="23"/>
      <c r="K62" s="23"/>
      <c r="L62" s="23"/>
    </row>
    <row r="63" ht="15.75" customHeight="1">
      <c r="A63" s="23"/>
      <c r="B63" s="23"/>
      <c r="C63" s="23"/>
      <c r="E63" s="23"/>
      <c r="F63" s="23"/>
      <c r="G63" s="24"/>
      <c r="H63" s="23"/>
      <c r="J63" s="23"/>
      <c r="K63" s="23"/>
      <c r="L63" s="23"/>
    </row>
    <row r="64" ht="15.75" customHeight="1">
      <c r="A64" s="23"/>
      <c r="B64" s="23"/>
      <c r="C64" s="23"/>
      <c r="E64" s="23"/>
      <c r="F64" s="23"/>
      <c r="G64" s="24"/>
      <c r="H64" s="23"/>
      <c r="J64" s="23"/>
      <c r="K64" s="23"/>
      <c r="L64" s="23"/>
    </row>
    <row r="65" ht="15.75" customHeight="1">
      <c r="A65" s="23"/>
      <c r="B65" s="23"/>
      <c r="C65" s="23"/>
      <c r="E65" s="23"/>
      <c r="F65" s="23"/>
      <c r="G65" s="24"/>
      <c r="H65" s="23"/>
      <c r="J65" s="23"/>
      <c r="K65" s="23"/>
      <c r="L65" s="23"/>
    </row>
    <row r="66" ht="15.75" customHeight="1">
      <c r="A66" s="23"/>
      <c r="B66" s="23"/>
      <c r="C66" s="23"/>
      <c r="E66" s="23"/>
      <c r="F66" s="23"/>
      <c r="G66" s="24"/>
      <c r="H66" s="23"/>
      <c r="J66" s="23"/>
      <c r="K66" s="23"/>
      <c r="L66" s="23"/>
    </row>
    <row r="67" ht="15.75" customHeight="1">
      <c r="A67" s="23"/>
      <c r="B67" s="23"/>
      <c r="C67" s="23"/>
      <c r="E67" s="23"/>
      <c r="F67" s="23"/>
      <c r="G67" s="24"/>
      <c r="H67" s="23"/>
      <c r="J67" s="23"/>
      <c r="K67" s="23"/>
      <c r="L67" s="23"/>
    </row>
    <row r="68" ht="15.75" customHeight="1">
      <c r="A68" s="23"/>
      <c r="B68" s="23"/>
      <c r="C68" s="23"/>
      <c r="E68" s="23"/>
      <c r="F68" s="23"/>
      <c r="G68" s="24"/>
      <c r="H68" s="23"/>
      <c r="J68" s="23"/>
      <c r="K68" s="23"/>
      <c r="L68" s="23"/>
    </row>
    <row r="69" ht="15.75" customHeight="1">
      <c r="A69" s="23"/>
      <c r="B69" s="23"/>
      <c r="C69" s="23"/>
      <c r="E69" s="23"/>
      <c r="F69" s="23"/>
      <c r="G69" s="24"/>
      <c r="H69" s="23"/>
      <c r="J69" s="23"/>
      <c r="K69" s="23"/>
      <c r="L69" s="23"/>
    </row>
    <row r="70" ht="15.75" customHeight="1">
      <c r="A70" s="23"/>
      <c r="B70" s="23"/>
      <c r="C70" s="23"/>
      <c r="E70" s="23"/>
      <c r="F70" s="23"/>
      <c r="G70" s="24"/>
      <c r="H70" s="23"/>
      <c r="J70" s="23"/>
      <c r="K70" s="23"/>
      <c r="L70" s="23"/>
    </row>
    <row r="71" ht="15.75" customHeight="1">
      <c r="A71" s="23"/>
      <c r="B71" s="23"/>
      <c r="C71" s="23"/>
      <c r="E71" s="23"/>
      <c r="F71" s="23"/>
      <c r="G71" s="24"/>
      <c r="H71" s="23"/>
      <c r="J71" s="23"/>
      <c r="K71" s="23"/>
      <c r="L71" s="23"/>
    </row>
    <row r="72" ht="15.75" customHeight="1">
      <c r="A72" s="23"/>
      <c r="B72" s="23"/>
      <c r="C72" s="23"/>
      <c r="E72" s="23"/>
      <c r="F72" s="23"/>
      <c r="G72" s="24"/>
      <c r="H72" s="23"/>
      <c r="J72" s="23"/>
      <c r="K72" s="23"/>
      <c r="L72" s="23"/>
    </row>
    <row r="73" ht="15.75" customHeight="1">
      <c r="A73" s="23"/>
      <c r="B73" s="23"/>
      <c r="C73" s="23"/>
      <c r="E73" s="23"/>
      <c r="F73" s="23"/>
      <c r="G73" s="24"/>
      <c r="H73" s="23"/>
      <c r="J73" s="23"/>
      <c r="K73" s="23"/>
      <c r="L73" s="23"/>
    </row>
    <row r="74" ht="15.75" customHeight="1">
      <c r="A74" s="23"/>
      <c r="B74" s="23"/>
      <c r="C74" s="23"/>
      <c r="E74" s="23"/>
      <c r="F74" s="23"/>
      <c r="G74" s="24"/>
      <c r="H74" s="23"/>
      <c r="J74" s="23"/>
      <c r="K74" s="23"/>
      <c r="L74" s="23"/>
    </row>
    <row r="75" ht="15.75" customHeight="1">
      <c r="A75" s="23"/>
      <c r="B75" s="23"/>
      <c r="C75" s="23"/>
      <c r="E75" s="23"/>
      <c r="F75" s="23"/>
      <c r="G75" s="24"/>
      <c r="H75" s="23"/>
      <c r="J75" s="23"/>
      <c r="K75" s="23"/>
      <c r="L75" s="23"/>
    </row>
    <row r="76" ht="15.75" customHeight="1">
      <c r="A76" s="23"/>
      <c r="B76" s="23"/>
      <c r="C76" s="23"/>
      <c r="E76" s="23"/>
      <c r="F76" s="23"/>
      <c r="G76" s="24"/>
      <c r="H76" s="23"/>
      <c r="J76" s="23"/>
      <c r="K76" s="23"/>
      <c r="L76" s="23"/>
    </row>
    <row r="77" ht="15.75" customHeight="1">
      <c r="A77" s="23"/>
      <c r="B77" s="23"/>
      <c r="C77" s="23"/>
      <c r="E77" s="23"/>
      <c r="F77" s="23"/>
      <c r="G77" s="24"/>
      <c r="H77" s="23"/>
      <c r="J77" s="23"/>
      <c r="K77" s="23"/>
      <c r="L77" s="23"/>
    </row>
    <row r="78" ht="15.75" customHeight="1">
      <c r="A78" s="23"/>
      <c r="B78" s="23"/>
      <c r="C78" s="23"/>
      <c r="E78" s="23"/>
      <c r="F78" s="23"/>
      <c r="G78" s="24"/>
      <c r="H78" s="23"/>
      <c r="J78" s="23"/>
      <c r="K78" s="23"/>
      <c r="L78" s="23"/>
    </row>
    <row r="79" ht="15.75" customHeight="1">
      <c r="A79" s="23"/>
      <c r="B79" s="23"/>
      <c r="C79" s="23"/>
      <c r="E79" s="23"/>
      <c r="F79" s="23"/>
      <c r="G79" s="24"/>
      <c r="H79" s="23"/>
      <c r="J79" s="23"/>
      <c r="K79" s="23"/>
      <c r="L79" s="23"/>
    </row>
    <row r="80" ht="15.75" customHeight="1">
      <c r="A80" s="23"/>
      <c r="B80" s="23"/>
      <c r="C80" s="23"/>
      <c r="E80" s="23"/>
      <c r="F80" s="23"/>
      <c r="G80" s="24"/>
      <c r="H80" s="23"/>
      <c r="J80" s="23"/>
      <c r="K80" s="23"/>
      <c r="L80" s="23"/>
    </row>
    <row r="81" ht="15.75" customHeight="1">
      <c r="A81" s="23"/>
      <c r="B81" s="23"/>
      <c r="C81" s="23"/>
      <c r="E81" s="23"/>
      <c r="F81" s="23"/>
      <c r="G81" s="24"/>
      <c r="H81" s="23"/>
      <c r="J81" s="23"/>
      <c r="K81" s="23"/>
      <c r="L81" s="23"/>
    </row>
    <row r="82" ht="15.75" customHeight="1">
      <c r="A82" s="23"/>
      <c r="B82" s="23"/>
      <c r="C82" s="23"/>
      <c r="E82" s="23"/>
      <c r="F82" s="23"/>
      <c r="G82" s="24"/>
      <c r="H82" s="23"/>
      <c r="J82" s="23"/>
      <c r="K82" s="23"/>
      <c r="L82" s="23"/>
    </row>
    <row r="83" ht="15.75" customHeight="1">
      <c r="A83" s="23"/>
      <c r="B83" s="23"/>
      <c r="C83" s="23"/>
      <c r="E83" s="23"/>
      <c r="F83" s="23"/>
      <c r="G83" s="24"/>
      <c r="H83" s="23"/>
      <c r="J83" s="23"/>
      <c r="K83" s="23"/>
      <c r="L83" s="23"/>
    </row>
    <row r="84" ht="15.75" customHeight="1">
      <c r="A84" s="23"/>
      <c r="B84" s="23"/>
      <c r="C84" s="23"/>
      <c r="E84" s="23"/>
      <c r="F84" s="23"/>
      <c r="G84" s="24"/>
      <c r="H84" s="23"/>
      <c r="J84" s="23"/>
      <c r="K84" s="23"/>
      <c r="L84" s="23"/>
    </row>
    <row r="85" ht="15.75" customHeight="1">
      <c r="A85" s="23"/>
      <c r="B85" s="23"/>
      <c r="C85" s="23"/>
      <c r="E85" s="23"/>
      <c r="F85" s="23"/>
      <c r="G85" s="24"/>
      <c r="H85" s="23"/>
      <c r="J85" s="23"/>
      <c r="K85" s="23"/>
      <c r="L85" s="23"/>
    </row>
    <row r="86" ht="15.75" customHeight="1">
      <c r="A86" s="23"/>
      <c r="B86" s="23"/>
      <c r="C86" s="23"/>
      <c r="E86" s="23"/>
      <c r="F86" s="23"/>
      <c r="G86" s="24"/>
      <c r="H86" s="23"/>
      <c r="J86" s="23"/>
      <c r="K86" s="23"/>
      <c r="L86" s="23"/>
    </row>
    <row r="87" ht="15.75" customHeight="1">
      <c r="A87" s="23"/>
      <c r="B87" s="23"/>
      <c r="C87" s="23"/>
      <c r="E87" s="23"/>
      <c r="F87" s="23"/>
      <c r="G87" s="24"/>
      <c r="H87" s="23"/>
      <c r="J87" s="23"/>
      <c r="K87" s="23"/>
      <c r="L87" s="23"/>
    </row>
    <row r="88" ht="15.75" customHeight="1">
      <c r="A88" s="23"/>
      <c r="B88" s="23"/>
      <c r="C88" s="23"/>
      <c r="E88" s="23"/>
      <c r="F88" s="23"/>
      <c r="G88" s="24"/>
      <c r="H88" s="23"/>
      <c r="J88" s="23"/>
      <c r="K88" s="23"/>
      <c r="L88" s="23"/>
    </row>
    <row r="89" ht="15.75" customHeight="1">
      <c r="A89" s="23"/>
      <c r="B89" s="23"/>
      <c r="C89" s="23"/>
      <c r="E89" s="23"/>
      <c r="F89" s="23"/>
      <c r="G89" s="24"/>
      <c r="H89" s="23"/>
      <c r="J89" s="23"/>
      <c r="K89" s="23"/>
      <c r="L89" s="23"/>
    </row>
    <row r="90" ht="15.75" customHeight="1">
      <c r="A90" s="23"/>
      <c r="B90" s="23"/>
      <c r="C90" s="23"/>
      <c r="E90" s="23"/>
      <c r="F90" s="23"/>
      <c r="G90" s="24"/>
      <c r="H90" s="23"/>
      <c r="J90" s="23"/>
      <c r="K90" s="23"/>
      <c r="L90" s="23"/>
    </row>
    <row r="91" ht="15.75" customHeight="1">
      <c r="A91" s="23"/>
      <c r="B91" s="23"/>
      <c r="C91" s="23"/>
      <c r="E91" s="23"/>
      <c r="F91" s="23"/>
      <c r="G91" s="24"/>
      <c r="H91" s="23"/>
      <c r="J91" s="23"/>
      <c r="K91" s="23"/>
      <c r="L91" s="23"/>
    </row>
    <row r="92" ht="15.75" customHeight="1">
      <c r="A92" s="23"/>
      <c r="B92" s="23"/>
      <c r="C92" s="23"/>
      <c r="E92" s="23"/>
      <c r="F92" s="23"/>
      <c r="G92" s="24"/>
      <c r="H92" s="23"/>
      <c r="J92" s="23"/>
      <c r="K92" s="23"/>
      <c r="L92" s="23"/>
    </row>
    <row r="93" ht="15.75" customHeight="1">
      <c r="A93" s="23"/>
      <c r="B93" s="23"/>
      <c r="C93" s="23"/>
      <c r="E93" s="23"/>
      <c r="F93" s="23"/>
      <c r="G93" s="24"/>
      <c r="H93" s="23"/>
      <c r="J93" s="23"/>
      <c r="K93" s="23"/>
      <c r="L93" s="23"/>
    </row>
    <row r="94" ht="15.75" customHeight="1">
      <c r="A94" s="23"/>
      <c r="B94" s="23"/>
      <c r="C94" s="23"/>
      <c r="E94" s="23"/>
      <c r="F94" s="23"/>
      <c r="G94" s="24"/>
      <c r="H94" s="23"/>
      <c r="J94" s="23"/>
      <c r="K94" s="23"/>
      <c r="L94" s="23"/>
    </row>
    <row r="95" ht="15.75" customHeight="1">
      <c r="A95" s="23"/>
      <c r="B95" s="23"/>
      <c r="C95" s="23"/>
      <c r="E95" s="23"/>
      <c r="F95" s="23"/>
      <c r="G95" s="24"/>
      <c r="H95" s="23"/>
      <c r="J95" s="23"/>
      <c r="K95" s="23"/>
      <c r="L95" s="23"/>
    </row>
    <row r="96" ht="15.75" customHeight="1">
      <c r="A96" s="23"/>
      <c r="B96" s="23"/>
      <c r="C96" s="23"/>
      <c r="E96" s="23"/>
      <c r="F96" s="23"/>
      <c r="G96" s="24"/>
      <c r="H96" s="23"/>
      <c r="J96" s="23"/>
      <c r="K96" s="23"/>
      <c r="L96" s="23"/>
    </row>
    <row r="97" ht="15.75" customHeight="1">
      <c r="A97" s="23"/>
      <c r="B97" s="23"/>
      <c r="C97" s="23"/>
      <c r="E97" s="23"/>
      <c r="F97" s="23"/>
      <c r="G97" s="24"/>
      <c r="H97" s="23"/>
      <c r="J97" s="23"/>
      <c r="K97" s="23"/>
      <c r="L97" s="23"/>
    </row>
    <row r="98" ht="15.75" customHeight="1">
      <c r="A98" s="23"/>
      <c r="B98" s="23"/>
      <c r="C98" s="23"/>
      <c r="E98" s="23"/>
      <c r="F98" s="23"/>
      <c r="G98" s="24"/>
      <c r="H98" s="23"/>
      <c r="J98" s="23"/>
      <c r="K98" s="23"/>
      <c r="L98" s="23"/>
    </row>
    <row r="99" ht="15.75" customHeight="1">
      <c r="A99" s="23"/>
      <c r="B99" s="23"/>
      <c r="C99" s="23"/>
      <c r="E99" s="23"/>
      <c r="F99" s="23"/>
      <c r="G99" s="24"/>
      <c r="H99" s="23"/>
      <c r="J99" s="23"/>
      <c r="K99" s="23"/>
      <c r="L99" s="23"/>
    </row>
    <row r="100" ht="15.75" customHeight="1">
      <c r="A100" s="23"/>
      <c r="B100" s="23"/>
      <c r="C100" s="23"/>
      <c r="E100" s="23"/>
      <c r="F100" s="23"/>
      <c r="G100" s="24"/>
      <c r="H100" s="23"/>
      <c r="J100" s="23"/>
      <c r="K100" s="23"/>
      <c r="L100" s="23"/>
    </row>
    <row r="101" ht="15.75" customHeight="1">
      <c r="A101" s="23"/>
      <c r="B101" s="23"/>
      <c r="C101" s="23"/>
      <c r="E101" s="23"/>
      <c r="F101" s="23"/>
      <c r="G101" s="24"/>
      <c r="H101" s="23"/>
      <c r="J101" s="23"/>
      <c r="K101" s="23"/>
      <c r="L101" s="23"/>
    </row>
    <row r="102" ht="15.75" customHeight="1">
      <c r="A102" s="23"/>
      <c r="B102" s="23"/>
      <c r="C102" s="23"/>
      <c r="E102" s="23"/>
      <c r="F102" s="23"/>
      <c r="G102" s="24"/>
      <c r="H102" s="23"/>
      <c r="J102" s="23"/>
      <c r="K102" s="23"/>
      <c r="L102" s="23"/>
    </row>
    <row r="103" ht="15.75" customHeight="1">
      <c r="A103" s="23"/>
      <c r="B103" s="23"/>
      <c r="C103" s="23"/>
      <c r="E103" s="23"/>
      <c r="F103" s="23"/>
      <c r="G103" s="24"/>
      <c r="H103" s="23"/>
      <c r="J103" s="23"/>
      <c r="K103" s="23"/>
      <c r="L103" s="23"/>
    </row>
    <row r="104" ht="15.75" customHeight="1">
      <c r="A104" s="45"/>
      <c r="B104" s="45"/>
      <c r="C104" s="45"/>
      <c r="D104" s="45"/>
      <c r="E104" s="45"/>
      <c r="F104" s="45"/>
      <c r="G104" s="46"/>
      <c r="H104" s="45"/>
      <c r="I104" s="45"/>
      <c r="J104" s="23"/>
      <c r="K104" s="45"/>
      <c r="L104" s="45"/>
      <c r="M104" s="45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104"/>
  <mergeCells count="3">
    <mergeCell ref="A1:M1"/>
    <mergeCell ref="A2:M2"/>
    <mergeCell ref="A3:M3"/>
  </mergeCells>
  <dataValidations>
    <dataValidation type="list" allowBlank="1" showInputMessage="1" showErrorMessage="1" prompt="Позиция, принявшая версию" sqref="H5:H104">
      <formula1>'Система'!$AC$33:$AC$232</formula1>
    </dataValidation>
    <dataValidation type="list" allowBlank="1" showInputMessage="1" showErrorMessage="1" prompt="Слой модели" sqref="E5:E104">
      <formula1>'Система'!$B$33:$B$34</formula1>
    </dataValidation>
    <dataValidation type="list" allowBlank="1" showInputMessage="1" showErrorMessage="1" prompt="Нужна ли миграция" sqref="K5:K104">
      <formula1>'Система'!$K$33:$K$34</formula1>
    </dataValidation>
    <dataValidation type="list" allowBlank="1" showInputMessage="1" showErrorMessage="1" prompt="Предыдущая версия" sqref="J5:J104">
      <formula1>'Система'!$AE$33:$AE$132</formula1>
    </dataValidation>
    <dataValidation type="list" allowBlank="1" showInputMessage="1" showErrorMessage="1" prompt="Статус версии" sqref="F5:F104">
      <formula1>'Система'!$Q$33:$Q$37</formula1>
    </dataValidation>
    <dataValidation type="list" allowBlank="1" showInputMessage="1" showErrorMessage="1" prompt="Источник" sqref="L5:L104">
      <formula1>'Система'!$AF$33:$AF$232</formula1>
    </dataValidation>
    <dataValidation type="list" allowBlank="1" showInputMessage="1" showErrorMessage="1" prompt="Версия производственной системы" sqref="B5:B104">
      <formula1>'Система'!$W$33:$W$232</formula1>
    </dataValidation>
    <dataValidation type="list" allowBlank="1" showInputMessage="1" showErrorMessage="1" prompt="Тип версии" sqref="C5:C104">
      <formula1>'Система'!$P$33:$P$34</formula1>
    </dataValidation>
    <dataValidation type="custom" allowBlank="1" showDropDown="1" showInputMessage="1" showErrorMessage="1" prompt="Стабильный ID формата ver-..." sqref="A5:A104">
      <formula1>OR(A5="",REGEXMATCH(A5,"^ver-[A-Za-z0-9._-]+$"))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5.0"/>
    <col customWidth="1" min="3" max="3" width="20.0"/>
    <col customWidth="1" min="4" max="5" width="31.13"/>
    <col customWidth="1" min="6" max="7" width="20.0"/>
    <col customWidth="1" min="8" max="8" width="16.75"/>
    <col customWidth="1" min="9" max="9" width="15.0"/>
    <col customWidth="1" min="10" max="11" width="12.25"/>
    <col customWidth="1" min="12" max="12" width="31.13"/>
    <col customWidth="1" min="13" max="26" width="8.63"/>
  </cols>
  <sheetData>
    <row r="1" ht="25.5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2.5" customHeight="1">
      <c r="A2" s="4" t="s">
        <v>468</v>
      </c>
    </row>
    <row r="3" ht="19.5" customHeight="1">
      <c r="A3" s="7" t="s">
        <v>8</v>
      </c>
    </row>
    <row r="4" ht="39.0" customHeight="1">
      <c r="A4" s="10" t="s">
        <v>473</v>
      </c>
      <c r="B4" s="10" t="s">
        <v>434</v>
      </c>
      <c r="C4" s="10" t="s">
        <v>476</v>
      </c>
      <c r="D4" s="10" t="s">
        <v>477</v>
      </c>
      <c r="E4" s="10" t="s">
        <v>479</v>
      </c>
      <c r="F4" s="13" t="s">
        <v>481</v>
      </c>
      <c r="G4" s="10" t="s">
        <v>483</v>
      </c>
      <c r="H4" s="10" t="s">
        <v>36</v>
      </c>
      <c r="I4" s="10" t="s">
        <v>38</v>
      </c>
      <c r="J4" s="10" t="s">
        <v>40</v>
      </c>
      <c r="K4" s="13" t="s">
        <v>44</v>
      </c>
      <c r="L4" s="13" t="s">
        <v>52</v>
      </c>
    </row>
    <row r="5">
      <c r="A5" s="23"/>
      <c r="B5" s="23"/>
      <c r="G5" s="23"/>
      <c r="H5" s="23"/>
      <c r="I5" s="23"/>
      <c r="J5" s="24"/>
      <c r="K5" s="24"/>
    </row>
    <row r="6">
      <c r="A6" s="23"/>
      <c r="B6" s="23"/>
      <c r="G6" s="23"/>
      <c r="H6" s="23"/>
      <c r="I6" s="23"/>
      <c r="J6" s="24"/>
      <c r="K6" s="24"/>
    </row>
    <row r="7">
      <c r="A7" s="23"/>
      <c r="B7" s="23"/>
      <c r="G7" s="23"/>
      <c r="H7" s="23"/>
      <c r="I7" s="23"/>
      <c r="J7" s="24"/>
      <c r="K7" s="24"/>
    </row>
    <row r="8">
      <c r="A8" s="23"/>
      <c r="B8" s="23"/>
      <c r="G8" s="23"/>
      <c r="H8" s="23"/>
      <c r="I8" s="23"/>
      <c r="J8" s="24"/>
      <c r="K8" s="24"/>
    </row>
    <row r="9">
      <c r="A9" s="23"/>
      <c r="B9" s="23"/>
      <c r="G9" s="23"/>
      <c r="H9" s="23"/>
      <c r="I9" s="23"/>
      <c r="J9" s="24"/>
      <c r="K9" s="24"/>
    </row>
    <row r="10">
      <c r="A10" s="23"/>
      <c r="B10" s="23"/>
      <c r="G10" s="23"/>
      <c r="H10" s="23"/>
      <c r="I10" s="23"/>
      <c r="J10" s="24"/>
      <c r="K10" s="24"/>
    </row>
    <row r="11">
      <c r="A11" s="23"/>
      <c r="B11" s="23"/>
      <c r="G11" s="23"/>
      <c r="H11" s="23"/>
      <c r="I11" s="23"/>
      <c r="J11" s="24"/>
      <c r="K11" s="24"/>
    </row>
    <row r="12">
      <c r="A12" s="23"/>
      <c r="B12" s="23"/>
      <c r="G12" s="23"/>
      <c r="H12" s="23"/>
      <c r="I12" s="23"/>
      <c r="J12" s="24"/>
      <c r="K12" s="24"/>
    </row>
    <row r="13">
      <c r="A13" s="23"/>
      <c r="B13" s="23"/>
      <c r="G13" s="23"/>
      <c r="H13" s="23"/>
      <c r="I13" s="23"/>
      <c r="J13" s="24"/>
      <c r="K13" s="24"/>
    </row>
    <row r="14">
      <c r="A14" s="23"/>
      <c r="B14" s="23"/>
      <c r="G14" s="23"/>
      <c r="H14" s="23"/>
      <c r="I14" s="23"/>
      <c r="J14" s="24"/>
      <c r="K14" s="24"/>
    </row>
    <row r="15">
      <c r="A15" s="23"/>
      <c r="B15" s="23"/>
      <c r="G15" s="23"/>
      <c r="H15" s="23"/>
      <c r="I15" s="23"/>
      <c r="J15" s="24"/>
      <c r="K15" s="24"/>
    </row>
    <row r="16">
      <c r="A16" s="23"/>
      <c r="B16" s="23"/>
      <c r="G16" s="23"/>
      <c r="H16" s="23"/>
      <c r="I16" s="23"/>
      <c r="J16" s="24"/>
      <c r="K16" s="24"/>
    </row>
    <row r="17">
      <c r="A17" s="23"/>
      <c r="B17" s="23"/>
      <c r="G17" s="23"/>
      <c r="H17" s="23"/>
      <c r="I17" s="23"/>
      <c r="J17" s="24"/>
      <c r="K17" s="24"/>
    </row>
    <row r="18">
      <c r="A18" s="23"/>
      <c r="B18" s="23"/>
      <c r="G18" s="23"/>
      <c r="H18" s="23"/>
      <c r="I18" s="23"/>
      <c r="J18" s="24"/>
      <c r="K18" s="24"/>
    </row>
    <row r="19">
      <c r="A19" s="23"/>
      <c r="B19" s="23"/>
      <c r="G19" s="23"/>
      <c r="H19" s="23"/>
      <c r="I19" s="23"/>
      <c r="J19" s="24"/>
      <c r="K19" s="24"/>
    </row>
    <row r="20">
      <c r="A20" s="23"/>
      <c r="B20" s="23"/>
      <c r="G20" s="23"/>
      <c r="H20" s="23"/>
      <c r="I20" s="23"/>
      <c r="J20" s="24"/>
      <c r="K20" s="24"/>
    </row>
    <row r="21" ht="15.75" customHeight="1">
      <c r="A21" s="23"/>
      <c r="B21" s="23"/>
      <c r="G21" s="23"/>
      <c r="H21" s="23"/>
      <c r="I21" s="23"/>
      <c r="J21" s="24"/>
      <c r="K21" s="24"/>
    </row>
    <row r="22" ht="15.75" customHeight="1">
      <c r="A22" s="23"/>
      <c r="B22" s="23"/>
      <c r="G22" s="23"/>
      <c r="H22" s="23"/>
      <c r="I22" s="23"/>
      <c r="J22" s="24"/>
      <c r="K22" s="24"/>
    </row>
    <row r="23" ht="15.75" customHeight="1">
      <c r="A23" s="23"/>
      <c r="B23" s="23"/>
      <c r="G23" s="23"/>
      <c r="H23" s="23"/>
      <c r="I23" s="23"/>
      <c r="J23" s="24"/>
      <c r="K23" s="24"/>
    </row>
    <row r="24" ht="15.75" customHeight="1">
      <c r="A24" s="23"/>
      <c r="B24" s="23"/>
      <c r="G24" s="23"/>
      <c r="H24" s="23"/>
      <c r="I24" s="23"/>
      <c r="J24" s="24"/>
      <c r="K24" s="24"/>
    </row>
    <row r="25" ht="15.75" customHeight="1">
      <c r="A25" s="23"/>
      <c r="B25" s="23"/>
      <c r="G25" s="23"/>
      <c r="H25" s="23"/>
      <c r="I25" s="23"/>
      <c r="J25" s="24"/>
      <c r="K25" s="24"/>
    </row>
    <row r="26" ht="15.75" customHeight="1">
      <c r="A26" s="23"/>
      <c r="B26" s="23"/>
      <c r="G26" s="23"/>
      <c r="H26" s="23"/>
      <c r="I26" s="23"/>
      <c r="J26" s="24"/>
      <c r="K26" s="24"/>
    </row>
    <row r="27" ht="15.75" customHeight="1">
      <c r="A27" s="23"/>
      <c r="B27" s="23"/>
      <c r="G27" s="23"/>
      <c r="H27" s="23"/>
      <c r="I27" s="23"/>
      <c r="J27" s="24"/>
      <c r="K27" s="24"/>
    </row>
    <row r="28" ht="15.75" customHeight="1">
      <c r="A28" s="23"/>
      <c r="B28" s="23"/>
      <c r="G28" s="23"/>
      <c r="H28" s="23"/>
      <c r="I28" s="23"/>
      <c r="J28" s="24"/>
      <c r="K28" s="24"/>
    </row>
    <row r="29" ht="15.75" customHeight="1">
      <c r="A29" s="23"/>
      <c r="B29" s="23"/>
      <c r="G29" s="23"/>
      <c r="H29" s="23"/>
      <c r="I29" s="23"/>
      <c r="J29" s="24"/>
      <c r="K29" s="24"/>
    </row>
    <row r="30" ht="15.75" customHeight="1">
      <c r="A30" s="23"/>
      <c r="B30" s="23"/>
      <c r="G30" s="23"/>
      <c r="H30" s="23"/>
      <c r="I30" s="23"/>
      <c r="J30" s="24"/>
      <c r="K30" s="24"/>
    </row>
    <row r="31" ht="15.75" customHeight="1">
      <c r="A31" s="23"/>
      <c r="B31" s="23"/>
      <c r="G31" s="23"/>
      <c r="H31" s="23"/>
      <c r="I31" s="23"/>
      <c r="J31" s="24"/>
      <c r="K31" s="24"/>
    </row>
    <row r="32" ht="15.75" customHeight="1">
      <c r="A32" s="23"/>
      <c r="B32" s="23"/>
      <c r="G32" s="23"/>
      <c r="H32" s="23"/>
      <c r="I32" s="23"/>
      <c r="J32" s="24"/>
      <c r="K32" s="24"/>
    </row>
    <row r="33" ht="15.75" customHeight="1">
      <c r="A33" s="23"/>
      <c r="B33" s="23"/>
      <c r="G33" s="23"/>
      <c r="H33" s="23"/>
      <c r="I33" s="23"/>
      <c r="J33" s="24"/>
      <c r="K33" s="24"/>
    </row>
    <row r="34" ht="15.75" customHeight="1">
      <c r="A34" s="23"/>
      <c r="B34" s="23"/>
      <c r="G34" s="23"/>
      <c r="H34" s="23"/>
      <c r="I34" s="23"/>
      <c r="J34" s="24"/>
      <c r="K34" s="24"/>
    </row>
    <row r="35" ht="15.75" customHeight="1">
      <c r="A35" s="23"/>
      <c r="B35" s="23"/>
      <c r="G35" s="23"/>
      <c r="H35" s="23"/>
      <c r="I35" s="23"/>
      <c r="J35" s="24"/>
      <c r="K35" s="24"/>
    </row>
    <row r="36" ht="15.75" customHeight="1">
      <c r="A36" s="23"/>
      <c r="B36" s="23"/>
      <c r="G36" s="23"/>
      <c r="H36" s="23"/>
      <c r="I36" s="23"/>
      <c r="J36" s="24"/>
      <c r="K36" s="24"/>
    </row>
    <row r="37" ht="15.75" customHeight="1">
      <c r="A37" s="23"/>
      <c r="B37" s="23"/>
      <c r="G37" s="23"/>
      <c r="H37" s="23"/>
      <c r="I37" s="23"/>
      <c r="J37" s="24"/>
      <c r="K37" s="24"/>
    </row>
    <row r="38" ht="15.75" customHeight="1">
      <c r="A38" s="23"/>
      <c r="B38" s="23"/>
      <c r="G38" s="23"/>
      <c r="H38" s="23"/>
      <c r="I38" s="23"/>
      <c r="J38" s="24"/>
      <c r="K38" s="24"/>
    </row>
    <row r="39" ht="15.75" customHeight="1">
      <c r="A39" s="23"/>
      <c r="B39" s="23"/>
      <c r="G39" s="23"/>
      <c r="H39" s="23"/>
      <c r="I39" s="23"/>
      <c r="J39" s="24"/>
      <c r="K39" s="24"/>
    </row>
    <row r="40" ht="15.75" customHeight="1">
      <c r="A40" s="23"/>
      <c r="B40" s="23"/>
      <c r="G40" s="23"/>
      <c r="H40" s="23"/>
      <c r="I40" s="23"/>
      <c r="J40" s="24"/>
      <c r="K40" s="24"/>
    </row>
    <row r="41" ht="15.75" customHeight="1">
      <c r="A41" s="23"/>
      <c r="B41" s="23"/>
      <c r="G41" s="23"/>
      <c r="H41" s="23"/>
      <c r="I41" s="23"/>
      <c r="J41" s="24"/>
      <c r="K41" s="24"/>
    </row>
    <row r="42" ht="15.75" customHeight="1">
      <c r="A42" s="23"/>
      <c r="B42" s="23"/>
      <c r="G42" s="23"/>
      <c r="H42" s="23"/>
      <c r="I42" s="23"/>
      <c r="J42" s="24"/>
      <c r="K42" s="24"/>
    </row>
    <row r="43" ht="15.75" customHeight="1">
      <c r="A43" s="23"/>
      <c r="B43" s="23"/>
      <c r="G43" s="23"/>
      <c r="H43" s="23"/>
      <c r="I43" s="23"/>
      <c r="J43" s="24"/>
      <c r="K43" s="24"/>
    </row>
    <row r="44" ht="15.75" customHeight="1">
      <c r="A44" s="23"/>
      <c r="B44" s="23"/>
      <c r="G44" s="23"/>
      <c r="H44" s="23"/>
      <c r="I44" s="23"/>
      <c r="J44" s="24"/>
      <c r="K44" s="24"/>
    </row>
    <row r="45" ht="15.75" customHeight="1">
      <c r="A45" s="23"/>
      <c r="B45" s="23"/>
      <c r="G45" s="23"/>
      <c r="H45" s="23"/>
      <c r="I45" s="23"/>
      <c r="J45" s="24"/>
      <c r="K45" s="24"/>
    </row>
    <row r="46" ht="15.75" customHeight="1">
      <c r="A46" s="23"/>
      <c r="B46" s="23"/>
      <c r="G46" s="23"/>
      <c r="H46" s="23"/>
      <c r="I46" s="23"/>
      <c r="J46" s="24"/>
      <c r="K46" s="24"/>
    </row>
    <row r="47" ht="15.75" customHeight="1">
      <c r="A47" s="23"/>
      <c r="B47" s="23"/>
      <c r="G47" s="23"/>
      <c r="H47" s="23"/>
      <c r="I47" s="23"/>
      <c r="J47" s="24"/>
      <c r="K47" s="24"/>
    </row>
    <row r="48" ht="15.75" customHeight="1">
      <c r="A48" s="23"/>
      <c r="B48" s="23"/>
      <c r="G48" s="23"/>
      <c r="H48" s="23"/>
      <c r="I48" s="23"/>
      <c r="J48" s="24"/>
      <c r="K48" s="24"/>
    </row>
    <row r="49" ht="15.75" customHeight="1">
      <c r="A49" s="23"/>
      <c r="B49" s="23"/>
      <c r="G49" s="23"/>
      <c r="H49" s="23"/>
      <c r="I49" s="23"/>
      <c r="J49" s="24"/>
      <c r="K49" s="24"/>
    </row>
    <row r="50" ht="15.75" customHeight="1">
      <c r="A50" s="23"/>
      <c r="B50" s="23"/>
      <c r="G50" s="23"/>
      <c r="H50" s="23"/>
      <c r="I50" s="23"/>
      <c r="J50" s="24"/>
      <c r="K50" s="24"/>
    </row>
    <row r="51" ht="15.75" customHeight="1">
      <c r="A51" s="23"/>
      <c r="B51" s="23"/>
      <c r="G51" s="23"/>
      <c r="H51" s="23"/>
      <c r="I51" s="23"/>
      <c r="J51" s="24"/>
      <c r="K51" s="24"/>
    </row>
    <row r="52" ht="15.75" customHeight="1">
      <c r="A52" s="23"/>
      <c r="B52" s="23"/>
      <c r="G52" s="23"/>
      <c r="H52" s="23"/>
      <c r="I52" s="23"/>
      <c r="J52" s="24"/>
      <c r="K52" s="24"/>
    </row>
    <row r="53" ht="15.75" customHeight="1">
      <c r="A53" s="23"/>
      <c r="B53" s="23"/>
      <c r="G53" s="23"/>
      <c r="H53" s="23"/>
      <c r="I53" s="23"/>
      <c r="J53" s="24"/>
      <c r="K53" s="24"/>
    </row>
    <row r="54" ht="15.75" customHeight="1">
      <c r="A54" s="23"/>
      <c r="B54" s="23"/>
      <c r="G54" s="23"/>
      <c r="H54" s="23"/>
      <c r="I54" s="23"/>
      <c r="J54" s="24"/>
      <c r="K54" s="24"/>
    </row>
    <row r="55" ht="15.75" customHeight="1">
      <c r="A55" s="23"/>
      <c r="B55" s="23"/>
      <c r="G55" s="23"/>
      <c r="H55" s="23"/>
      <c r="I55" s="23"/>
      <c r="J55" s="24"/>
      <c r="K55" s="24"/>
    </row>
    <row r="56" ht="15.75" customHeight="1">
      <c r="A56" s="23"/>
      <c r="B56" s="23"/>
      <c r="G56" s="23"/>
      <c r="H56" s="23"/>
      <c r="I56" s="23"/>
      <c r="J56" s="24"/>
      <c r="K56" s="24"/>
    </row>
    <row r="57" ht="15.75" customHeight="1">
      <c r="A57" s="23"/>
      <c r="B57" s="23"/>
      <c r="G57" s="23"/>
      <c r="H57" s="23"/>
      <c r="I57" s="23"/>
      <c r="J57" s="24"/>
      <c r="K57" s="24"/>
    </row>
    <row r="58" ht="15.75" customHeight="1">
      <c r="A58" s="23"/>
      <c r="B58" s="23"/>
      <c r="G58" s="23"/>
      <c r="H58" s="23"/>
      <c r="I58" s="23"/>
      <c r="J58" s="24"/>
      <c r="K58" s="24"/>
    </row>
    <row r="59" ht="15.75" customHeight="1">
      <c r="A59" s="23"/>
      <c r="B59" s="23"/>
      <c r="G59" s="23"/>
      <c r="H59" s="23"/>
      <c r="I59" s="23"/>
      <c r="J59" s="24"/>
      <c r="K59" s="24"/>
    </row>
    <row r="60" ht="15.75" customHeight="1">
      <c r="A60" s="23"/>
      <c r="B60" s="23"/>
      <c r="G60" s="23"/>
      <c r="H60" s="23"/>
      <c r="I60" s="23"/>
      <c r="J60" s="24"/>
      <c r="K60" s="24"/>
    </row>
    <row r="61" ht="15.75" customHeight="1">
      <c r="A61" s="23"/>
      <c r="B61" s="23"/>
      <c r="G61" s="23"/>
      <c r="H61" s="23"/>
      <c r="I61" s="23"/>
      <c r="J61" s="24"/>
      <c r="K61" s="24"/>
    </row>
    <row r="62" ht="15.75" customHeight="1">
      <c r="A62" s="23"/>
      <c r="B62" s="23"/>
      <c r="G62" s="23"/>
      <c r="H62" s="23"/>
      <c r="I62" s="23"/>
      <c r="J62" s="24"/>
      <c r="K62" s="24"/>
    </row>
    <row r="63" ht="15.75" customHeight="1">
      <c r="A63" s="23"/>
      <c r="B63" s="23"/>
      <c r="G63" s="23"/>
      <c r="H63" s="23"/>
      <c r="I63" s="23"/>
      <c r="J63" s="24"/>
      <c r="K63" s="24"/>
    </row>
    <row r="64" ht="15.75" customHeight="1">
      <c r="A64" s="23"/>
      <c r="B64" s="23"/>
      <c r="G64" s="23"/>
      <c r="H64" s="23"/>
      <c r="I64" s="23"/>
      <c r="J64" s="24"/>
      <c r="K64" s="24"/>
    </row>
    <row r="65" ht="15.75" customHeight="1">
      <c r="A65" s="23"/>
      <c r="B65" s="23"/>
      <c r="G65" s="23"/>
      <c r="H65" s="23"/>
      <c r="I65" s="23"/>
      <c r="J65" s="24"/>
      <c r="K65" s="24"/>
    </row>
    <row r="66" ht="15.75" customHeight="1">
      <c r="A66" s="23"/>
      <c r="B66" s="23"/>
      <c r="G66" s="23"/>
      <c r="H66" s="23"/>
      <c r="I66" s="23"/>
      <c r="J66" s="24"/>
      <c r="K66" s="24"/>
    </row>
    <row r="67" ht="15.75" customHeight="1">
      <c r="A67" s="23"/>
      <c r="B67" s="23"/>
      <c r="G67" s="23"/>
      <c r="H67" s="23"/>
      <c r="I67" s="23"/>
      <c r="J67" s="24"/>
      <c r="K67" s="24"/>
    </row>
    <row r="68" ht="15.75" customHeight="1">
      <c r="A68" s="23"/>
      <c r="B68" s="23"/>
      <c r="G68" s="23"/>
      <c r="H68" s="23"/>
      <c r="I68" s="23"/>
      <c r="J68" s="24"/>
      <c r="K68" s="24"/>
    </row>
    <row r="69" ht="15.75" customHeight="1">
      <c r="A69" s="23"/>
      <c r="B69" s="23"/>
      <c r="G69" s="23"/>
      <c r="H69" s="23"/>
      <c r="I69" s="23"/>
      <c r="J69" s="24"/>
      <c r="K69" s="24"/>
    </row>
    <row r="70" ht="15.75" customHeight="1">
      <c r="A70" s="23"/>
      <c r="B70" s="23"/>
      <c r="G70" s="23"/>
      <c r="H70" s="23"/>
      <c r="I70" s="23"/>
      <c r="J70" s="24"/>
      <c r="K70" s="24"/>
    </row>
    <row r="71" ht="15.75" customHeight="1">
      <c r="A71" s="23"/>
      <c r="B71" s="23"/>
      <c r="G71" s="23"/>
      <c r="H71" s="23"/>
      <c r="I71" s="23"/>
      <c r="J71" s="24"/>
      <c r="K71" s="24"/>
    </row>
    <row r="72" ht="15.75" customHeight="1">
      <c r="A72" s="23"/>
      <c r="B72" s="23"/>
      <c r="G72" s="23"/>
      <c r="H72" s="23"/>
      <c r="I72" s="23"/>
      <c r="J72" s="24"/>
      <c r="K72" s="24"/>
    </row>
    <row r="73" ht="15.75" customHeight="1">
      <c r="A73" s="23"/>
      <c r="B73" s="23"/>
      <c r="G73" s="23"/>
      <c r="H73" s="23"/>
      <c r="I73" s="23"/>
      <c r="J73" s="24"/>
      <c r="K73" s="24"/>
    </row>
    <row r="74" ht="15.75" customHeight="1">
      <c r="A74" s="23"/>
      <c r="B74" s="23"/>
      <c r="G74" s="23"/>
      <c r="H74" s="23"/>
      <c r="I74" s="23"/>
      <c r="J74" s="24"/>
      <c r="K74" s="24"/>
    </row>
    <row r="75" ht="15.75" customHeight="1">
      <c r="A75" s="23"/>
      <c r="B75" s="23"/>
      <c r="G75" s="23"/>
      <c r="H75" s="23"/>
      <c r="I75" s="23"/>
      <c r="J75" s="24"/>
      <c r="K75" s="24"/>
    </row>
    <row r="76" ht="15.75" customHeight="1">
      <c r="A76" s="23"/>
      <c r="B76" s="23"/>
      <c r="G76" s="23"/>
      <c r="H76" s="23"/>
      <c r="I76" s="23"/>
      <c r="J76" s="24"/>
      <c r="K76" s="24"/>
    </row>
    <row r="77" ht="15.75" customHeight="1">
      <c r="A77" s="23"/>
      <c r="B77" s="23"/>
      <c r="G77" s="23"/>
      <c r="H77" s="23"/>
      <c r="I77" s="23"/>
      <c r="J77" s="24"/>
      <c r="K77" s="24"/>
    </row>
    <row r="78" ht="15.75" customHeight="1">
      <c r="A78" s="23"/>
      <c r="B78" s="23"/>
      <c r="G78" s="23"/>
      <c r="H78" s="23"/>
      <c r="I78" s="23"/>
      <c r="J78" s="24"/>
      <c r="K78" s="24"/>
    </row>
    <row r="79" ht="15.75" customHeight="1">
      <c r="A79" s="23"/>
      <c r="B79" s="23"/>
      <c r="G79" s="23"/>
      <c r="H79" s="23"/>
      <c r="I79" s="23"/>
      <c r="J79" s="24"/>
      <c r="K79" s="24"/>
    </row>
    <row r="80" ht="15.75" customHeight="1">
      <c r="A80" s="23"/>
      <c r="B80" s="23"/>
      <c r="G80" s="23"/>
      <c r="H80" s="23"/>
      <c r="I80" s="23"/>
      <c r="J80" s="24"/>
      <c r="K80" s="24"/>
    </row>
    <row r="81" ht="15.75" customHeight="1">
      <c r="A81" s="23"/>
      <c r="B81" s="23"/>
      <c r="G81" s="23"/>
      <c r="H81" s="23"/>
      <c r="I81" s="23"/>
      <c r="J81" s="24"/>
      <c r="K81" s="24"/>
    </row>
    <row r="82" ht="15.75" customHeight="1">
      <c r="A82" s="23"/>
      <c r="B82" s="23"/>
      <c r="G82" s="23"/>
      <c r="H82" s="23"/>
      <c r="I82" s="23"/>
      <c r="J82" s="24"/>
      <c r="K82" s="24"/>
    </row>
    <row r="83" ht="15.75" customHeight="1">
      <c r="A83" s="23"/>
      <c r="B83" s="23"/>
      <c r="G83" s="23"/>
      <c r="H83" s="23"/>
      <c r="I83" s="23"/>
      <c r="J83" s="24"/>
      <c r="K83" s="24"/>
    </row>
    <row r="84" ht="15.75" customHeight="1">
      <c r="A84" s="23"/>
      <c r="B84" s="23"/>
      <c r="G84" s="23"/>
      <c r="H84" s="23"/>
      <c r="I84" s="23"/>
      <c r="J84" s="24"/>
      <c r="K84" s="24"/>
    </row>
    <row r="85" ht="15.75" customHeight="1">
      <c r="A85" s="23"/>
      <c r="B85" s="23"/>
      <c r="G85" s="23"/>
      <c r="H85" s="23"/>
      <c r="I85" s="23"/>
      <c r="J85" s="24"/>
      <c r="K85" s="24"/>
    </row>
    <row r="86" ht="15.75" customHeight="1">
      <c r="A86" s="23"/>
      <c r="B86" s="23"/>
      <c r="G86" s="23"/>
      <c r="H86" s="23"/>
      <c r="I86" s="23"/>
      <c r="J86" s="24"/>
      <c r="K86" s="24"/>
    </row>
    <row r="87" ht="15.75" customHeight="1">
      <c r="A87" s="23"/>
      <c r="B87" s="23"/>
      <c r="G87" s="23"/>
      <c r="H87" s="23"/>
      <c r="I87" s="23"/>
      <c r="J87" s="24"/>
      <c r="K87" s="24"/>
    </row>
    <row r="88" ht="15.75" customHeight="1">
      <c r="A88" s="23"/>
      <c r="B88" s="23"/>
      <c r="G88" s="23"/>
      <c r="H88" s="23"/>
      <c r="I88" s="23"/>
      <c r="J88" s="24"/>
      <c r="K88" s="24"/>
    </row>
    <row r="89" ht="15.75" customHeight="1">
      <c r="A89" s="23"/>
      <c r="B89" s="23"/>
      <c r="G89" s="23"/>
      <c r="H89" s="23"/>
      <c r="I89" s="23"/>
      <c r="J89" s="24"/>
      <c r="K89" s="24"/>
    </row>
    <row r="90" ht="15.75" customHeight="1">
      <c r="A90" s="23"/>
      <c r="B90" s="23"/>
      <c r="G90" s="23"/>
      <c r="H90" s="23"/>
      <c r="I90" s="23"/>
      <c r="J90" s="24"/>
      <c r="K90" s="24"/>
    </row>
    <row r="91" ht="15.75" customHeight="1">
      <c r="A91" s="23"/>
      <c r="B91" s="23"/>
      <c r="G91" s="23"/>
      <c r="H91" s="23"/>
      <c r="I91" s="23"/>
      <c r="J91" s="24"/>
      <c r="K91" s="24"/>
    </row>
    <row r="92" ht="15.75" customHeight="1">
      <c r="A92" s="23"/>
      <c r="B92" s="23"/>
      <c r="G92" s="23"/>
      <c r="H92" s="23"/>
      <c r="I92" s="23"/>
      <c r="J92" s="24"/>
      <c r="K92" s="24"/>
    </row>
    <row r="93" ht="15.75" customHeight="1">
      <c r="A93" s="23"/>
      <c r="B93" s="23"/>
      <c r="G93" s="23"/>
      <c r="H93" s="23"/>
      <c r="I93" s="23"/>
      <c r="J93" s="24"/>
      <c r="K93" s="24"/>
    </row>
    <row r="94" ht="15.75" customHeight="1">
      <c r="A94" s="23"/>
      <c r="B94" s="23"/>
      <c r="G94" s="23"/>
      <c r="H94" s="23"/>
      <c r="I94" s="23"/>
      <c r="J94" s="24"/>
      <c r="K94" s="24"/>
    </row>
    <row r="95" ht="15.75" customHeight="1">
      <c r="A95" s="23"/>
      <c r="B95" s="23"/>
      <c r="G95" s="23"/>
      <c r="H95" s="23"/>
      <c r="I95" s="23"/>
      <c r="J95" s="24"/>
      <c r="K95" s="24"/>
    </row>
    <row r="96" ht="15.75" customHeight="1">
      <c r="A96" s="23"/>
      <c r="B96" s="23"/>
      <c r="G96" s="23"/>
      <c r="H96" s="23"/>
      <c r="I96" s="23"/>
      <c r="J96" s="24"/>
      <c r="K96" s="24"/>
    </row>
    <row r="97" ht="15.75" customHeight="1">
      <c r="A97" s="23"/>
      <c r="B97" s="23"/>
      <c r="G97" s="23"/>
      <c r="H97" s="23"/>
      <c r="I97" s="23"/>
      <c r="J97" s="24"/>
      <c r="K97" s="24"/>
    </row>
    <row r="98" ht="15.75" customHeight="1">
      <c r="A98" s="23"/>
      <c r="B98" s="23"/>
      <c r="G98" s="23"/>
      <c r="H98" s="23"/>
      <c r="I98" s="23"/>
      <c r="J98" s="24"/>
      <c r="K98" s="24"/>
    </row>
    <row r="99" ht="15.75" customHeight="1">
      <c r="A99" s="23"/>
      <c r="B99" s="23"/>
      <c r="G99" s="23"/>
      <c r="H99" s="23"/>
      <c r="I99" s="23"/>
      <c r="J99" s="24"/>
      <c r="K99" s="24"/>
    </row>
    <row r="100" ht="15.75" customHeight="1">
      <c r="A100" s="23"/>
      <c r="B100" s="23"/>
      <c r="G100" s="23"/>
      <c r="H100" s="23"/>
      <c r="I100" s="23"/>
      <c r="J100" s="24"/>
      <c r="K100" s="24"/>
    </row>
    <row r="101" ht="15.75" customHeight="1">
      <c r="A101" s="23"/>
      <c r="B101" s="23"/>
      <c r="G101" s="23"/>
      <c r="H101" s="23"/>
      <c r="I101" s="23"/>
      <c r="J101" s="24"/>
      <c r="K101" s="24"/>
    </row>
    <row r="102" ht="15.75" customHeight="1">
      <c r="A102" s="23"/>
      <c r="B102" s="23"/>
      <c r="G102" s="23"/>
      <c r="H102" s="23"/>
      <c r="I102" s="23"/>
      <c r="J102" s="24"/>
      <c r="K102" s="24"/>
    </row>
    <row r="103" ht="15.75" customHeight="1">
      <c r="A103" s="23"/>
      <c r="B103" s="23"/>
      <c r="G103" s="23"/>
      <c r="H103" s="23"/>
      <c r="I103" s="23"/>
      <c r="J103" s="24"/>
      <c r="K103" s="24"/>
    </row>
    <row r="104" ht="15.75" customHeight="1">
      <c r="A104" s="23"/>
      <c r="B104" s="23"/>
      <c r="G104" s="23"/>
      <c r="H104" s="23"/>
      <c r="I104" s="23"/>
      <c r="J104" s="24"/>
      <c r="K104" s="24"/>
    </row>
    <row r="105" ht="15.75" customHeight="1">
      <c r="A105" s="23"/>
      <c r="B105" s="23"/>
      <c r="G105" s="23"/>
      <c r="H105" s="23"/>
      <c r="I105" s="23"/>
      <c r="J105" s="24"/>
      <c r="K105" s="24"/>
    </row>
    <row r="106" ht="15.75" customHeight="1">
      <c r="A106" s="23"/>
      <c r="B106" s="23"/>
      <c r="G106" s="23"/>
      <c r="H106" s="23"/>
      <c r="I106" s="23"/>
      <c r="J106" s="24"/>
      <c r="K106" s="24"/>
    </row>
    <row r="107" ht="15.75" customHeight="1">
      <c r="A107" s="23"/>
      <c r="B107" s="23"/>
      <c r="G107" s="23"/>
      <c r="H107" s="23"/>
      <c r="I107" s="23"/>
      <c r="J107" s="24"/>
      <c r="K107" s="24"/>
    </row>
    <row r="108" ht="15.75" customHeight="1">
      <c r="A108" s="23"/>
      <c r="B108" s="23"/>
      <c r="G108" s="23"/>
      <c r="H108" s="23"/>
      <c r="I108" s="23"/>
      <c r="J108" s="24"/>
      <c r="K108" s="24"/>
    </row>
    <row r="109" ht="15.75" customHeight="1">
      <c r="A109" s="23"/>
      <c r="B109" s="23"/>
      <c r="G109" s="23"/>
      <c r="H109" s="23"/>
      <c r="I109" s="23"/>
      <c r="J109" s="24"/>
      <c r="K109" s="24"/>
    </row>
    <row r="110" ht="15.75" customHeight="1">
      <c r="A110" s="23"/>
      <c r="B110" s="23"/>
      <c r="G110" s="23"/>
      <c r="H110" s="23"/>
      <c r="I110" s="23"/>
      <c r="J110" s="24"/>
      <c r="K110" s="24"/>
    </row>
    <row r="111" ht="15.75" customHeight="1">
      <c r="A111" s="23"/>
      <c r="B111" s="23"/>
      <c r="G111" s="23"/>
      <c r="H111" s="23"/>
      <c r="I111" s="23"/>
      <c r="J111" s="24"/>
      <c r="K111" s="24"/>
    </row>
    <row r="112" ht="15.75" customHeight="1">
      <c r="A112" s="23"/>
      <c r="B112" s="23"/>
      <c r="G112" s="23"/>
      <c r="H112" s="23"/>
      <c r="I112" s="23"/>
      <c r="J112" s="24"/>
      <c r="K112" s="24"/>
    </row>
    <row r="113" ht="15.75" customHeight="1">
      <c r="A113" s="23"/>
      <c r="B113" s="23"/>
      <c r="G113" s="23"/>
      <c r="H113" s="23"/>
      <c r="I113" s="23"/>
      <c r="J113" s="24"/>
      <c r="K113" s="24"/>
    </row>
    <row r="114" ht="15.75" customHeight="1">
      <c r="A114" s="23"/>
      <c r="B114" s="23"/>
      <c r="G114" s="23"/>
      <c r="H114" s="23"/>
      <c r="I114" s="23"/>
      <c r="J114" s="24"/>
      <c r="K114" s="24"/>
    </row>
    <row r="115" ht="15.75" customHeight="1">
      <c r="A115" s="23"/>
      <c r="B115" s="23"/>
      <c r="G115" s="23"/>
      <c r="H115" s="23"/>
      <c r="I115" s="23"/>
      <c r="J115" s="24"/>
      <c r="K115" s="24"/>
    </row>
    <row r="116" ht="15.75" customHeight="1">
      <c r="A116" s="23"/>
      <c r="B116" s="23"/>
      <c r="G116" s="23"/>
      <c r="H116" s="23"/>
      <c r="I116" s="23"/>
      <c r="J116" s="24"/>
      <c r="K116" s="24"/>
    </row>
    <row r="117" ht="15.75" customHeight="1">
      <c r="A117" s="23"/>
      <c r="B117" s="23"/>
      <c r="G117" s="23"/>
      <c r="H117" s="23"/>
      <c r="I117" s="23"/>
      <c r="J117" s="24"/>
      <c r="K117" s="24"/>
    </row>
    <row r="118" ht="15.75" customHeight="1">
      <c r="A118" s="23"/>
      <c r="B118" s="23"/>
      <c r="G118" s="23"/>
      <c r="H118" s="23"/>
      <c r="I118" s="23"/>
      <c r="J118" s="24"/>
      <c r="K118" s="24"/>
    </row>
    <row r="119" ht="15.75" customHeight="1">
      <c r="A119" s="23"/>
      <c r="B119" s="23"/>
      <c r="G119" s="23"/>
      <c r="H119" s="23"/>
      <c r="I119" s="23"/>
      <c r="J119" s="24"/>
      <c r="K119" s="24"/>
    </row>
    <row r="120" ht="15.75" customHeight="1">
      <c r="A120" s="23"/>
      <c r="B120" s="23"/>
      <c r="G120" s="23"/>
      <c r="H120" s="23"/>
      <c r="I120" s="23"/>
      <c r="J120" s="24"/>
      <c r="K120" s="24"/>
    </row>
    <row r="121" ht="15.75" customHeight="1">
      <c r="A121" s="23"/>
      <c r="B121" s="23"/>
      <c r="G121" s="23"/>
      <c r="H121" s="23"/>
      <c r="I121" s="23"/>
      <c r="J121" s="24"/>
      <c r="K121" s="24"/>
    </row>
    <row r="122" ht="15.75" customHeight="1">
      <c r="A122" s="23"/>
      <c r="B122" s="23"/>
      <c r="G122" s="23"/>
      <c r="H122" s="23"/>
      <c r="I122" s="23"/>
      <c r="J122" s="24"/>
      <c r="K122" s="24"/>
    </row>
    <row r="123" ht="15.75" customHeight="1">
      <c r="A123" s="23"/>
      <c r="B123" s="23"/>
      <c r="G123" s="23"/>
      <c r="H123" s="23"/>
      <c r="I123" s="23"/>
      <c r="J123" s="24"/>
      <c r="K123" s="24"/>
    </row>
    <row r="124" ht="15.75" customHeight="1">
      <c r="A124" s="23"/>
      <c r="B124" s="23"/>
      <c r="G124" s="23"/>
      <c r="H124" s="23"/>
      <c r="I124" s="23"/>
      <c r="J124" s="24"/>
      <c r="K124" s="24"/>
    </row>
    <row r="125" ht="15.75" customHeight="1">
      <c r="A125" s="23"/>
      <c r="B125" s="23"/>
      <c r="G125" s="23"/>
      <c r="H125" s="23"/>
      <c r="I125" s="23"/>
      <c r="J125" s="24"/>
      <c r="K125" s="24"/>
    </row>
    <row r="126" ht="15.75" customHeight="1">
      <c r="A126" s="23"/>
      <c r="B126" s="23"/>
      <c r="G126" s="23"/>
      <c r="H126" s="23"/>
      <c r="I126" s="23"/>
      <c r="J126" s="24"/>
      <c r="K126" s="24"/>
    </row>
    <row r="127" ht="15.75" customHeight="1">
      <c r="A127" s="23"/>
      <c r="B127" s="23"/>
      <c r="G127" s="23"/>
      <c r="H127" s="23"/>
      <c r="I127" s="23"/>
      <c r="J127" s="24"/>
      <c r="K127" s="24"/>
    </row>
    <row r="128" ht="15.75" customHeight="1">
      <c r="A128" s="23"/>
      <c r="B128" s="23"/>
      <c r="G128" s="23"/>
      <c r="H128" s="23"/>
      <c r="I128" s="23"/>
      <c r="J128" s="24"/>
      <c r="K128" s="24"/>
    </row>
    <row r="129" ht="15.75" customHeight="1">
      <c r="A129" s="23"/>
      <c r="B129" s="23"/>
      <c r="G129" s="23"/>
      <c r="H129" s="23"/>
      <c r="I129" s="23"/>
      <c r="J129" s="24"/>
      <c r="K129" s="24"/>
    </row>
    <row r="130" ht="15.75" customHeight="1">
      <c r="A130" s="23"/>
      <c r="B130" s="23"/>
      <c r="G130" s="23"/>
      <c r="H130" s="23"/>
      <c r="I130" s="23"/>
      <c r="J130" s="24"/>
      <c r="K130" s="24"/>
    </row>
    <row r="131" ht="15.75" customHeight="1">
      <c r="A131" s="23"/>
      <c r="B131" s="23"/>
      <c r="G131" s="23"/>
      <c r="H131" s="23"/>
      <c r="I131" s="23"/>
      <c r="J131" s="24"/>
      <c r="K131" s="24"/>
    </row>
    <row r="132" ht="15.75" customHeight="1">
      <c r="A132" s="23"/>
      <c r="B132" s="23"/>
      <c r="G132" s="23"/>
      <c r="H132" s="23"/>
      <c r="I132" s="23"/>
      <c r="J132" s="24"/>
      <c r="K132" s="24"/>
    </row>
    <row r="133" ht="15.75" customHeight="1">
      <c r="A133" s="23"/>
      <c r="B133" s="23"/>
      <c r="G133" s="23"/>
      <c r="H133" s="23"/>
      <c r="I133" s="23"/>
      <c r="J133" s="24"/>
      <c r="K133" s="24"/>
    </row>
    <row r="134" ht="15.75" customHeight="1">
      <c r="A134" s="23"/>
      <c r="B134" s="23"/>
      <c r="G134" s="23"/>
      <c r="H134" s="23"/>
      <c r="I134" s="23"/>
      <c r="J134" s="24"/>
      <c r="K134" s="24"/>
    </row>
    <row r="135" ht="15.75" customHeight="1">
      <c r="A135" s="23"/>
      <c r="B135" s="23"/>
      <c r="G135" s="23"/>
      <c r="H135" s="23"/>
      <c r="I135" s="23"/>
      <c r="J135" s="24"/>
      <c r="K135" s="24"/>
    </row>
    <row r="136" ht="15.75" customHeight="1">
      <c r="A136" s="23"/>
      <c r="B136" s="23"/>
      <c r="G136" s="23"/>
      <c r="H136" s="23"/>
      <c r="I136" s="23"/>
      <c r="J136" s="24"/>
      <c r="K136" s="24"/>
    </row>
    <row r="137" ht="15.75" customHeight="1">
      <c r="A137" s="23"/>
      <c r="B137" s="23"/>
      <c r="G137" s="23"/>
      <c r="H137" s="23"/>
      <c r="I137" s="23"/>
      <c r="J137" s="24"/>
      <c r="K137" s="24"/>
    </row>
    <row r="138" ht="15.75" customHeight="1">
      <c r="A138" s="23"/>
      <c r="B138" s="23"/>
      <c r="G138" s="23"/>
      <c r="H138" s="23"/>
      <c r="I138" s="23"/>
      <c r="J138" s="24"/>
      <c r="K138" s="24"/>
    </row>
    <row r="139" ht="15.75" customHeight="1">
      <c r="A139" s="23"/>
      <c r="B139" s="23"/>
      <c r="G139" s="23"/>
      <c r="H139" s="23"/>
      <c r="I139" s="23"/>
      <c r="J139" s="24"/>
      <c r="K139" s="24"/>
    </row>
    <row r="140" ht="15.75" customHeight="1">
      <c r="A140" s="23"/>
      <c r="B140" s="23"/>
      <c r="G140" s="23"/>
      <c r="H140" s="23"/>
      <c r="I140" s="23"/>
      <c r="J140" s="24"/>
      <c r="K140" s="24"/>
    </row>
    <row r="141" ht="15.75" customHeight="1">
      <c r="A141" s="23"/>
      <c r="B141" s="23"/>
      <c r="G141" s="23"/>
      <c r="H141" s="23"/>
      <c r="I141" s="23"/>
      <c r="J141" s="24"/>
      <c r="K141" s="24"/>
    </row>
    <row r="142" ht="15.75" customHeight="1">
      <c r="A142" s="23"/>
      <c r="B142" s="23"/>
      <c r="G142" s="23"/>
      <c r="H142" s="23"/>
      <c r="I142" s="23"/>
      <c r="J142" s="24"/>
      <c r="K142" s="24"/>
    </row>
    <row r="143" ht="15.75" customHeight="1">
      <c r="A143" s="23"/>
      <c r="B143" s="23"/>
      <c r="G143" s="23"/>
      <c r="H143" s="23"/>
      <c r="I143" s="23"/>
      <c r="J143" s="24"/>
      <c r="K143" s="24"/>
    </row>
    <row r="144" ht="15.75" customHeight="1">
      <c r="A144" s="23"/>
      <c r="B144" s="23"/>
      <c r="G144" s="23"/>
      <c r="H144" s="23"/>
      <c r="I144" s="23"/>
      <c r="J144" s="24"/>
      <c r="K144" s="24"/>
    </row>
    <row r="145" ht="15.75" customHeight="1">
      <c r="A145" s="23"/>
      <c r="B145" s="23"/>
      <c r="G145" s="23"/>
      <c r="H145" s="23"/>
      <c r="I145" s="23"/>
      <c r="J145" s="24"/>
      <c r="K145" s="24"/>
    </row>
    <row r="146" ht="15.75" customHeight="1">
      <c r="A146" s="23"/>
      <c r="B146" s="23"/>
      <c r="G146" s="23"/>
      <c r="H146" s="23"/>
      <c r="I146" s="23"/>
      <c r="J146" s="24"/>
      <c r="K146" s="24"/>
    </row>
    <row r="147" ht="15.75" customHeight="1">
      <c r="A147" s="23"/>
      <c r="B147" s="23"/>
      <c r="G147" s="23"/>
      <c r="H147" s="23"/>
      <c r="I147" s="23"/>
      <c r="J147" s="24"/>
      <c r="K147" s="24"/>
    </row>
    <row r="148" ht="15.75" customHeight="1">
      <c r="A148" s="23"/>
      <c r="B148" s="23"/>
      <c r="G148" s="23"/>
      <c r="H148" s="23"/>
      <c r="I148" s="23"/>
      <c r="J148" s="24"/>
      <c r="K148" s="24"/>
    </row>
    <row r="149" ht="15.75" customHeight="1">
      <c r="A149" s="23"/>
      <c r="B149" s="23"/>
      <c r="G149" s="23"/>
      <c r="H149" s="23"/>
      <c r="I149" s="23"/>
      <c r="J149" s="24"/>
      <c r="K149" s="24"/>
    </row>
    <row r="150" ht="15.75" customHeight="1">
      <c r="A150" s="23"/>
      <c r="B150" s="23"/>
      <c r="G150" s="23"/>
      <c r="H150" s="23"/>
      <c r="I150" s="23"/>
      <c r="J150" s="24"/>
      <c r="K150" s="24"/>
    </row>
    <row r="151" ht="15.75" customHeight="1">
      <c r="A151" s="23"/>
      <c r="B151" s="23"/>
      <c r="G151" s="23"/>
      <c r="H151" s="23"/>
      <c r="I151" s="23"/>
      <c r="J151" s="24"/>
      <c r="K151" s="24"/>
    </row>
    <row r="152" ht="15.75" customHeight="1">
      <c r="A152" s="23"/>
      <c r="B152" s="23"/>
      <c r="G152" s="23"/>
      <c r="H152" s="23"/>
      <c r="I152" s="23"/>
      <c r="J152" s="24"/>
      <c r="K152" s="24"/>
    </row>
    <row r="153" ht="15.75" customHeight="1">
      <c r="A153" s="23"/>
      <c r="B153" s="23"/>
      <c r="G153" s="23"/>
      <c r="H153" s="23"/>
      <c r="I153" s="23"/>
      <c r="J153" s="24"/>
      <c r="K153" s="24"/>
    </row>
    <row r="154" ht="15.75" customHeight="1">
      <c r="A154" s="23"/>
      <c r="B154" s="23"/>
      <c r="G154" s="23"/>
      <c r="H154" s="23"/>
      <c r="I154" s="23"/>
      <c r="J154" s="24"/>
      <c r="K154" s="24"/>
    </row>
    <row r="155" ht="15.75" customHeight="1">
      <c r="A155" s="23"/>
      <c r="B155" s="23"/>
      <c r="G155" s="23"/>
      <c r="H155" s="23"/>
      <c r="I155" s="23"/>
      <c r="J155" s="24"/>
      <c r="K155" s="24"/>
    </row>
    <row r="156" ht="15.75" customHeight="1">
      <c r="A156" s="23"/>
      <c r="B156" s="23"/>
      <c r="G156" s="23"/>
      <c r="H156" s="23"/>
      <c r="I156" s="23"/>
      <c r="J156" s="24"/>
      <c r="K156" s="24"/>
    </row>
    <row r="157" ht="15.75" customHeight="1">
      <c r="A157" s="23"/>
      <c r="B157" s="23"/>
      <c r="G157" s="23"/>
      <c r="H157" s="23"/>
      <c r="I157" s="23"/>
      <c r="J157" s="24"/>
      <c r="K157" s="24"/>
    </row>
    <row r="158" ht="15.75" customHeight="1">
      <c r="A158" s="23"/>
      <c r="B158" s="23"/>
      <c r="G158" s="23"/>
      <c r="H158" s="23"/>
      <c r="I158" s="23"/>
      <c r="J158" s="24"/>
      <c r="K158" s="24"/>
    </row>
    <row r="159" ht="15.75" customHeight="1">
      <c r="A159" s="23"/>
      <c r="B159" s="23"/>
      <c r="G159" s="23"/>
      <c r="H159" s="23"/>
      <c r="I159" s="23"/>
      <c r="J159" s="24"/>
      <c r="K159" s="24"/>
    </row>
    <row r="160" ht="15.75" customHeight="1">
      <c r="A160" s="23"/>
      <c r="B160" s="23"/>
      <c r="G160" s="23"/>
      <c r="H160" s="23"/>
      <c r="I160" s="23"/>
      <c r="J160" s="24"/>
      <c r="K160" s="24"/>
    </row>
    <row r="161" ht="15.75" customHeight="1">
      <c r="A161" s="23"/>
      <c r="B161" s="23"/>
      <c r="G161" s="23"/>
      <c r="H161" s="23"/>
      <c r="I161" s="23"/>
      <c r="J161" s="24"/>
      <c r="K161" s="24"/>
    </row>
    <row r="162" ht="15.75" customHeight="1">
      <c r="A162" s="23"/>
      <c r="B162" s="23"/>
      <c r="G162" s="23"/>
      <c r="H162" s="23"/>
      <c r="I162" s="23"/>
      <c r="J162" s="24"/>
      <c r="K162" s="24"/>
    </row>
    <row r="163" ht="15.75" customHeight="1">
      <c r="A163" s="23"/>
      <c r="B163" s="23"/>
      <c r="G163" s="23"/>
      <c r="H163" s="23"/>
      <c r="I163" s="23"/>
      <c r="J163" s="24"/>
      <c r="K163" s="24"/>
    </row>
    <row r="164" ht="15.75" customHeight="1">
      <c r="A164" s="23"/>
      <c r="B164" s="23"/>
      <c r="G164" s="23"/>
      <c r="H164" s="23"/>
      <c r="I164" s="23"/>
      <c r="J164" s="24"/>
      <c r="K164" s="24"/>
    </row>
    <row r="165" ht="15.75" customHeight="1">
      <c r="A165" s="23"/>
      <c r="B165" s="23"/>
      <c r="G165" s="23"/>
      <c r="H165" s="23"/>
      <c r="I165" s="23"/>
      <c r="J165" s="24"/>
      <c r="K165" s="24"/>
    </row>
    <row r="166" ht="15.75" customHeight="1">
      <c r="A166" s="23"/>
      <c r="B166" s="23"/>
      <c r="G166" s="23"/>
      <c r="H166" s="23"/>
      <c r="I166" s="23"/>
      <c r="J166" s="24"/>
      <c r="K166" s="24"/>
    </row>
    <row r="167" ht="15.75" customHeight="1">
      <c r="A167" s="23"/>
      <c r="B167" s="23"/>
      <c r="G167" s="23"/>
      <c r="H167" s="23"/>
      <c r="I167" s="23"/>
      <c r="J167" s="24"/>
      <c r="K167" s="24"/>
    </row>
    <row r="168" ht="15.75" customHeight="1">
      <c r="A168" s="23"/>
      <c r="B168" s="23"/>
      <c r="G168" s="23"/>
      <c r="H168" s="23"/>
      <c r="I168" s="23"/>
      <c r="J168" s="24"/>
      <c r="K168" s="24"/>
    </row>
    <row r="169" ht="15.75" customHeight="1">
      <c r="A169" s="23"/>
      <c r="B169" s="23"/>
      <c r="G169" s="23"/>
      <c r="H169" s="23"/>
      <c r="I169" s="23"/>
      <c r="J169" s="24"/>
      <c r="K169" s="24"/>
    </row>
    <row r="170" ht="15.75" customHeight="1">
      <c r="A170" s="23"/>
      <c r="B170" s="23"/>
      <c r="G170" s="23"/>
      <c r="H170" s="23"/>
      <c r="I170" s="23"/>
      <c r="J170" s="24"/>
      <c r="K170" s="24"/>
    </row>
    <row r="171" ht="15.75" customHeight="1">
      <c r="A171" s="23"/>
      <c r="B171" s="23"/>
      <c r="G171" s="23"/>
      <c r="H171" s="23"/>
      <c r="I171" s="23"/>
      <c r="J171" s="24"/>
      <c r="K171" s="24"/>
    </row>
    <row r="172" ht="15.75" customHeight="1">
      <c r="A172" s="23"/>
      <c r="B172" s="23"/>
      <c r="G172" s="23"/>
      <c r="H172" s="23"/>
      <c r="I172" s="23"/>
      <c r="J172" s="24"/>
      <c r="K172" s="24"/>
    </row>
    <row r="173" ht="15.75" customHeight="1">
      <c r="A173" s="23"/>
      <c r="B173" s="23"/>
      <c r="G173" s="23"/>
      <c r="H173" s="23"/>
      <c r="I173" s="23"/>
      <c r="J173" s="24"/>
      <c r="K173" s="24"/>
    </row>
    <row r="174" ht="15.75" customHeight="1">
      <c r="A174" s="23"/>
      <c r="B174" s="23"/>
      <c r="G174" s="23"/>
      <c r="H174" s="23"/>
      <c r="I174" s="23"/>
      <c r="J174" s="24"/>
      <c r="K174" s="24"/>
    </row>
    <row r="175" ht="15.75" customHeight="1">
      <c r="A175" s="23"/>
      <c r="B175" s="23"/>
      <c r="G175" s="23"/>
      <c r="H175" s="23"/>
      <c r="I175" s="23"/>
      <c r="J175" s="24"/>
      <c r="K175" s="24"/>
    </row>
    <row r="176" ht="15.75" customHeight="1">
      <c r="A176" s="23"/>
      <c r="B176" s="23"/>
      <c r="G176" s="23"/>
      <c r="H176" s="23"/>
      <c r="I176" s="23"/>
      <c r="J176" s="24"/>
      <c r="K176" s="24"/>
    </row>
    <row r="177" ht="15.75" customHeight="1">
      <c r="A177" s="23"/>
      <c r="B177" s="23"/>
      <c r="G177" s="23"/>
      <c r="H177" s="23"/>
      <c r="I177" s="23"/>
      <c r="J177" s="24"/>
      <c r="K177" s="24"/>
    </row>
    <row r="178" ht="15.75" customHeight="1">
      <c r="A178" s="23"/>
      <c r="B178" s="23"/>
      <c r="G178" s="23"/>
      <c r="H178" s="23"/>
      <c r="I178" s="23"/>
      <c r="J178" s="24"/>
      <c r="K178" s="24"/>
    </row>
    <row r="179" ht="15.75" customHeight="1">
      <c r="A179" s="23"/>
      <c r="B179" s="23"/>
      <c r="G179" s="23"/>
      <c r="H179" s="23"/>
      <c r="I179" s="23"/>
      <c r="J179" s="24"/>
      <c r="K179" s="24"/>
    </row>
    <row r="180" ht="15.75" customHeight="1">
      <c r="A180" s="23"/>
      <c r="B180" s="23"/>
      <c r="G180" s="23"/>
      <c r="H180" s="23"/>
      <c r="I180" s="23"/>
      <c r="J180" s="24"/>
      <c r="K180" s="24"/>
    </row>
    <row r="181" ht="15.75" customHeight="1">
      <c r="A181" s="23"/>
      <c r="B181" s="23"/>
      <c r="G181" s="23"/>
      <c r="H181" s="23"/>
      <c r="I181" s="23"/>
      <c r="J181" s="24"/>
      <c r="K181" s="24"/>
    </row>
    <row r="182" ht="15.75" customHeight="1">
      <c r="A182" s="23"/>
      <c r="B182" s="23"/>
      <c r="G182" s="23"/>
      <c r="H182" s="23"/>
      <c r="I182" s="23"/>
      <c r="J182" s="24"/>
      <c r="K182" s="24"/>
    </row>
    <row r="183" ht="15.75" customHeight="1">
      <c r="A183" s="23"/>
      <c r="B183" s="23"/>
      <c r="G183" s="23"/>
      <c r="H183" s="23"/>
      <c r="I183" s="23"/>
      <c r="J183" s="24"/>
      <c r="K183" s="24"/>
    </row>
    <row r="184" ht="15.75" customHeight="1">
      <c r="A184" s="23"/>
      <c r="B184" s="23"/>
      <c r="G184" s="23"/>
      <c r="H184" s="23"/>
      <c r="I184" s="23"/>
      <c r="J184" s="24"/>
      <c r="K184" s="24"/>
    </row>
    <row r="185" ht="15.75" customHeight="1">
      <c r="A185" s="23"/>
      <c r="B185" s="23"/>
      <c r="G185" s="23"/>
      <c r="H185" s="23"/>
      <c r="I185" s="23"/>
      <c r="J185" s="24"/>
      <c r="K185" s="24"/>
    </row>
    <row r="186" ht="15.75" customHeight="1">
      <c r="A186" s="23"/>
      <c r="B186" s="23"/>
      <c r="G186" s="23"/>
      <c r="H186" s="23"/>
      <c r="I186" s="23"/>
      <c r="J186" s="24"/>
      <c r="K186" s="24"/>
    </row>
    <row r="187" ht="15.75" customHeight="1">
      <c r="A187" s="23"/>
      <c r="B187" s="23"/>
      <c r="G187" s="23"/>
      <c r="H187" s="23"/>
      <c r="I187" s="23"/>
      <c r="J187" s="24"/>
      <c r="K187" s="24"/>
    </row>
    <row r="188" ht="15.75" customHeight="1">
      <c r="A188" s="23"/>
      <c r="B188" s="23"/>
      <c r="G188" s="23"/>
      <c r="H188" s="23"/>
      <c r="I188" s="23"/>
      <c r="J188" s="24"/>
      <c r="K188" s="24"/>
    </row>
    <row r="189" ht="15.75" customHeight="1">
      <c r="A189" s="23"/>
      <c r="B189" s="23"/>
      <c r="G189" s="23"/>
      <c r="H189" s="23"/>
      <c r="I189" s="23"/>
      <c r="J189" s="24"/>
      <c r="K189" s="24"/>
    </row>
    <row r="190" ht="15.75" customHeight="1">
      <c r="A190" s="23"/>
      <c r="B190" s="23"/>
      <c r="G190" s="23"/>
      <c r="H190" s="23"/>
      <c r="I190" s="23"/>
      <c r="J190" s="24"/>
      <c r="K190" s="24"/>
    </row>
    <row r="191" ht="15.75" customHeight="1">
      <c r="A191" s="23"/>
      <c r="B191" s="23"/>
      <c r="G191" s="23"/>
      <c r="H191" s="23"/>
      <c r="I191" s="23"/>
      <c r="J191" s="24"/>
      <c r="K191" s="24"/>
    </row>
    <row r="192" ht="15.75" customHeight="1">
      <c r="A192" s="23"/>
      <c r="B192" s="23"/>
      <c r="G192" s="23"/>
      <c r="H192" s="23"/>
      <c r="I192" s="23"/>
      <c r="J192" s="24"/>
      <c r="K192" s="24"/>
    </row>
    <row r="193" ht="15.75" customHeight="1">
      <c r="A193" s="23"/>
      <c r="B193" s="23"/>
      <c r="G193" s="23"/>
      <c r="H193" s="23"/>
      <c r="I193" s="23"/>
      <c r="J193" s="24"/>
      <c r="K193" s="24"/>
    </row>
    <row r="194" ht="15.75" customHeight="1">
      <c r="A194" s="23"/>
      <c r="B194" s="23"/>
      <c r="G194" s="23"/>
      <c r="H194" s="23"/>
      <c r="I194" s="23"/>
      <c r="J194" s="24"/>
      <c r="K194" s="24"/>
    </row>
    <row r="195" ht="15.75" customHeight="1">
      <c r="A195" s="23"/>
      <c r="B195" s="23"/>
      <c r="G195" s="23"/>
      <c r="H195" s="23"/>
      <c r="I195" s="23"/>
      <c r="J195" s="24"/>
      <c r="K195" s="24"/>
    </row>
    <row r="196" ht="15.75" customHeight="1">
      <c r="A196" s="23"/>
      <c r="B196" s="23"/>
      <c r="G196" s="23"/>
      <c r="H196" s="23"/>
      <c r="I196" s="23"/>
      <c r="J196" s="24"/>
      <c r="K196" s="24"/>
    </row>
    <row r="197" ht="15.75" customHeight="1">
      <c r="A197" s="23"/>
      <c r="B197" s="23"/>
      <c r="G197" s="23"/>
      <c r="H197" s="23"/>
      <c r="I197" s="23"/>
      <c r="J197" s="24"/>
      <c r="K197" s="24"/>
    </row>
    <row r="198" ht="15.75" customHeight="1">
      <c r="A198" s="23"/>
      <c r="B198" s="23"/>
      <c r="G198" s="23"/>
      <c r="H198" s="23"/>
      <c r="I198" s="23"/>
      <c r="J198" s="24"/>
      <c r="K198" s="24"/>
    </row>
    <row r="199" ht="15.75" customHeight="1">
      <c r="A199" s="23"/>
      <c r="B199" s="23"/>
      <c r="G199" s="23"/>
      <c r="H199" s="23"/>
      <c r="I199" s="23"/>
      <c r="J199" s="24"/>
      <c r="K199" s="24"/>
    </row>
    <row r="200" ht="15.75" customHeight="1">
      <c r="A200" s="23"/>
      <c r="B200" s="23"/>
      <c r="G200" s="23"/>
      <c r="H200" s="23"/>
      <c r="I200" s="23"/>
      <c r="J200" s="24"/>
      <c r="K200" s="24"/>
    </row>
    <row r="201" ht="15.75" customHeight="1">
      <c r="A201" s="23"/>
      <c r="B201" s="23"/>
      <c r="G201" s="23"/>
      <c r="H201" s="23"/>
      <c r="I201" s="23"/>
      <c r="J201" s="24"/>
      <c r="K201" s="24"/>
    </row>
    <row r="202" ht="15.75" customHeight="1">
      <c r="A202" s="23"/>
      <c r="B202" s="23"/>
      <c r="G202" s="23"/>
      <c r="H202" s="23"/>
      <c r="I202" s="23"/>
      <c r="J202" s="24"/>
      <c r="K202" s="24"/>
    </row>
    <row r="203" ht="15.75" customHeight="1">
      <c r="A203" s="23"/>
      <c r="B203" s="23"/>
      <c r="G203" s="23"/>
      <c r="H203" s="23"/>
      <c r="I203" s="23"/>
      <c r="J203" s="24"/>
      <c r="K203" s="24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6"/>
      <c r="K204" s="24"/>
      <c r="L204" s="45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204"/>
  <mergeCells count="3">
    <mergeCell ref="A1:L1"/>
    <mergeCell ref="A2:L2"/>
    <mergeCell ref="A3:L3"/>
  </mergeCells>
  <dataValidations>
    <dataValidation type="custom" allowBlank="1" showDropDown="1" showInputMessage="1" showErrorMessage="1" prompt="Стабильный ID формата pos-..." sqref="A5:A204">
      <formula1>OR(A5="",REGEXMATCH(A5,"^pos-[A-Za-z0-9._-]+$"))</formula1>
    </dataValidation>
    <dataValidation type="list" allowBlank="1" showInputMessage="1" showErrorMessage="1" prompt="Является ли позиция владельцем системы" sqref="G5:G204">
      <formula1>'Система'!$K$33:$K$34</formula1>
    </dataValidation>
    <dataValidation type="list" allowBlank="1" showInputMessage="1" showErrorMessage="1" prompt="Система ответственности" sqref="B5:B204">
      <formula1>'Система'!$W$33:$W$232</formula1>
    </dataValidation>
    <dataValidation type="list" allowBlank="1" showInputMessage="1" showErrorMessage="1" prompt="Статус знания" sqref="H5:H204">
      <formula1>'Система'!$A$33:$A$38</formula1>
    </dataValidation>
    <dataValidation type="list" allowBlank="1" showInputMessage="1" showErrorMessage="1" prompt="Источник" sqref="I5:I2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5.0"/>
    <col customWidth="1" min="4" max="4" width="20.0"/>
    <col customWidth="1" min="5" max="6" width="12.25"/>
    <col customWidth="1" min="7" max="8" width="15.0"/>
    <col customWidth="1" min="9" max="9" width="31.13"/>
    <col customWidth="1" min="10" max="26" width="8.63"/>
  </cols>
  <sheetData>
    <row r="1" ht="25.5" customHeight="1">
      <c r="A1" s="1" t="s">
        <v>522</v>
      </c>
      <c r="B1" s="2"/>
      <c r="C1" s="2"/>
      <c r="D1" s="2"/>
      <c r="E1" s="2"/>
      <c r="F1" s="2"/>
      <c r="G1" s="2"/>
      <c r="H1" s="2"/>
      <c r="I1" s="3"/>
    </row>
    <row r="2" ht="22.5" customHeight="1">
      <c r="A2" s="4" t="s">
        <v>523</v>
      </c>
    </row>
    <row r="3" ht="19.5" customHeight="1">
      <c r="A3" s="7" t="s">
        <v>8</v>
      </c>
    </row>
    <row r="4" ht="39.0" customHeight="1">
      <c r="A4" s="10" t="s">
        <v>524</v>
      </c>
      <c r="B4" s="10" t="s">
        <v>525</v>
      </c>
      <c r="C4" s="10" t="s">
        <v>526</v>
      </c>
      <c r="D4" s="10" t="s">
        <v>527</v>
      </c>
      <c r="E4" s="13" t="s">
        <v>528</v>
      </c>
      <c r="F4" s="13" t="s">
        <v>529</v>
      </c>
      <c r="G4" s="10" t="s">
        <v>530</v>
      </c>
      <c r="H4" s="10" t="s">
        <v>38</v>
      </c>
      <c r="I4" s="13" t="s">
        <v>52</v>
      </c>
    </row>
    <row r="5">
      <c r="A5" s="23"/>
      <c r="B5" s="23"/>
      <c r="C5" s="23"/>
      <c r="E5" s="24"/>
      <c r="F5" s="24"/>
      <c r="G5" s="23"/>
      <c r="H5" s="23"/>
    </row>
    <row r="6">
      <c r="A6" s="23"/>
      <c r="B6" s="23"/>
      <c r="C6" s="23"/>
      <c r="E6" s="24"/>
      <c r="F6" s="24"/>
      <c r="G6" s="23"/>
      <c r="H6" s="23"/>
    </row>
    <row r="7">
      <c r="A7" s="23"/>
      <c r="B7" s="23"/>
      <c r="C7" s="23"/>
      <c r="E7" s="24"/>
      <c r="F7" s="24"/>
      <c r="G7" s="23"/>
      <c r="H7" s="23"/>
    </row>
    <row r="8">
      <c r="A8" s="23"/>
      <c r="B8" s="23"/>
      <c r="C8" s="23"/>
      <c r="E8" s="24"/>
      <c r="F8" s="24"/>
      <c r="G8" s="23"/>
      <c r="H8" s="23"/>
    </row>
    <row r="9">
      <c r="A9" s="23"/>
      <c r="B9" s="23"/>
      <c r="C9" s="23"/>
      <c r="E9" s="24"/>
      <c r="F9" s="24"/>
      <c r="G9" s="23"/>
      <c r="H9" s="23"/>
    </row>
    <row r="10">
      <c r="A10" s="23"/>
      <c r="B10" s="23"/>
      <c r="C10" s="23"/>
      <c r="E10" s="24"/>
      <c r="F10" s="24"/>
      <c r="G10" s="23"/>
      <c r="H10" s="23"/>
    </row>
    <row r="11">
      <c r="A11" s="23"/>
      <c r="B11" s="23"/>
      <c r="C11" s="23"/>
      <c r="E11" s="24"/>
      <c r="F11" s="24"/>
      <c r="G11" s="23"/>
      <c r="H11" s="23"/>
    </row>
    <row r="12">
      <c r="A12" s="23"/>
      <c r="B12" s="23"/>
      <c r="C12" s="23"/>
      <c r="E12" s="24"/>
      <c r="F12" s="24"/>
      <c r="G12" s="23"/>
      <c r="H12" s="23"/>
    </row>
    <row r="13">
      <c r="A13" s="23"/>
      <c r="B13" s="23"/>
      <c r="C13" s="23"/>
      <c r="E13" s="24"/>
      <c r="F13" s="24"/>
      <c r="G13" s="23"/>
      <c r="H13" s="23"/>
    </row>
    <row r="14">
      <c r="A14" s="23"/>
      <c r="B14" s="23"/>
      <c r="C14" s="23"/>
      <c r="E14" s="24"/>
      <c r="F14" s="24"/>
      <c r="G14" s="23"/>
      <c r="H14" s="23"/>
    </row>
    <row r="15">
      <c r="A15" s="23"/>
      <c r="B15" s="23"/>
      <c r="C15" s="23"/>
      <c r="E15" s="24"/>
      <c r="F15" s="24"/>
      <c r="G15" s="23"/>
      <c r="H15" s="23"/>
    </row>
    <row r="16">
      <c r="A16" s="23"/>
      <c r="B16" s="23"/>
      <c r="C16" s="23"/>
      <c r="E16" s="24"/>
      <c r="F16" s="24"/>
      <c r="G16" s="23"/>
      <c r="H16" s="23"/>
    </row>
    <row r="17">
      <c r="A17" s="23"/>
      <c r="B17" s="23"/>
      <c r="C17" s="23"/>
      <c r="E17" s="24"/>
      <c r="F17" s="24"/>
      <c r="G17" s="23"/>
      <c r="H17" s="23"/>
    </row>
    <row r="18">
      <c r="A18" s="23"/>
      <c r="B18" s="23"/>
      <c r="C18" s="23"/>
      <c r="E18" s="24"/>
      <c r="F18" s="24"/>
      <c r="G18" s="23"/>
      <c r="H18" s="23"/>
    </row>
    <row r="19">
      <c r="A19" s="23"/>
      <c r="B19" s="23"/>
      <c r="C19" s="23"/>
      <c r="E19" s="24"/>
      <c r="F19" s="24"/>
      <c r="G19" s="23"/>
      <c r="H19" s="23"/>
    </row>
    <row r="20">
      <c r="A20" s="23"/>
      <c r="B20" s="23"/>
      <c r="C20" s="23"/>
      <c r="E20" s="24"/>
      <c r="F20" s="24"/>
      <c r="G20" s="23"/>
      <c r="H20" s="23"/>
    </row>
    <row r="21" ht="15.75" customHeight="1">
      <c r="A21" s="23"/>
      <c r="B21" s="23"/>
      <c r="C21" s="23"/>
      <c r="E21" s="24"/>
      <c r="F21" s="24"/>
      <c r="G21" s="23"/>
      <c r="H21" s="23"/>
    </row>
    <row r="22" ht="15.75" customHeight="1">
      <c r="A22" s="23"/>
      <c r="B22" s="23"/>
      <c r="C22" s="23"/>
      <c r="E22" s="24"/>
      <c r="F22" s="24"/>
      <c r="G22" s="23"/>
      <c r="H22" s="23"/>
    </row>
    <row r="23" ht="15.75" customHeight="1">
      <c r="A23" s="23"/>
      <c r="B23" s="23"/>
      <c r="C23" s="23"/>
      <c r="E23" s="24"/>
      <c r="F23" s="24"/>
      <c r="G23" s="23"/>
      <c r="H23" s="23"/>
    </row>
    <row r="24" ht="15.75" customHeight="1">
      <c r="A24" s="23"/>
      <c r="B24" s="23"/>
      <c r="C24" s="23"/>
      <c r="E24" s="24"/>
      <c r="F24" s="24"/>
      <c r="G24" s="23"/>
      <c r="H24" s="23"/>
    </row>
    <row r="25" ht="15.75" customHeight="1">
      <c r="A25" s="23"/>
      <c r="B25" s="23"/>
      <c r="C25" s="23"/>
      <c r="E25" s="24"/>
      <c r="F25" s="24"/>
      <c r="G25" s="23"/>
      <c r="H25" s="23"/>
    </row>
    <row r="26" ht="15.75" customHeight="1">
      <c r="A26" s="23"/>
      <c r="B26" s="23"/>
      <c r="C26" s="23"/>
      <c r="E26" s="24"/>
      <c r="F26" s="24"/>
      <c r="G26" s="23"/>
      <c r="H26" s="23"/>
    </row>
    <row r="27" ht="15.75" customHeight="1">
      <c r="A27" s="23"/>
      <c r="B27" s="23"/>
      <c r="C27" s="23"/>
      <c r="E27" s="24"/>
      <c r="F27" s="24"/>
      <c r="G27" s="23"/>
      <c r="H27" s="23"/>
    </row>
    <row r="28" ht="15.75" customHeight="1">
      <c r="A28" s="23"/>
      <c r="B28" s="23"/>
      <c r="C28" s="23"/>
      <c r="E28" s="24"/>
      <c r="F28" s="24"/>
      <c r="G28" s="23"/>
      <c r="H28" s="23"/>
    </row>
    <row r="29" ht="15.75" customHeight="1">
      <c r="A29" s="23"/>
      <c r="B29" s="23"/>
      <c r="C29" s="23"/>
      <c r="E29" s="24"/>
      <c r="F29" s="24"/>
      <c r="G29" s="23"/>
      <c r="H29" s="23"/>
    </row>
    <row r="30" ht="15.75" customHeight="1">
      <c r="A30" s="23"/>
      <c r="B30" s="23"/>
      <c r="C30" s="23"/>
      <c r="E30" s="24"/>
      <c r="F30" s="24"/>
      <c r="G30" s="23"/>
      <c r="H30" s="23"/>
    </row>
    <row r="31" ht="15.75" customHeight="1">
      <c r="A31" s="23"/>
      <c r="B31" s="23"/>
      <c r="C31" s="23"/>
      <c r="E31" s="24"/>
      <c r="F31" s="24"/>
      <c r="G31" s="23"/>
      <c r="H31" s="23"/>
    </row>
    <row r="32" ht="15.75" customHeight="1">
      <c r="A32" s="23"/>
      <c r="B32" s="23"/>
      <c r="C32" s="23"/>
      <c r="E32" s="24"/>
      <c r="F32" s="24"/>
      <c r="G32" s="23"/>
      <c r="H32" s="23"/>
    </row>
    <row r="33" ht="15.75" customHeight="1">
      <c r="A33" s="23"/>
      <c r="B33" s="23"/>
      <c r="C33" s="23"/>
      <c r="E33" s="24"/>
      <c r="F33" s="24"/>
      <c r="G33" s="23"/>
      <c r="H33" s="23"/>
    </row>
    <row r="34" ht="15.75" customHeight="1">
      <c r="A34" s="23"/>
      <c r="B34" s="23"/>
      <c r="C34" s="23"/>
      <c r="E34" s="24"/>
      <c r="F34" s="24"/>
      <c r="G34" s="23"/>
      <c r="H34" s="23"/>
    </row>
    <row r="35" ht="15.75" customHeight="1">
      <c r="A35" s="23"/>
      <c r="B35" s="23"/>
      <c r="C35" s="23"/>
      <c r="E35" s="24"/>
      <c r="F35" s="24"/>
      <c r="G35" s="23"/>
      <c r="H35" s="23"/>
    </row>
    <row r="36" ht="15.75" customHeight="1">
      <c r="A36" s="23"/>
      <c r="B36" s="23"/>
      <c r="C36" s="23"/>
      <c r="E36" s="24"/>
      <c r="F36" s="24"/>
      <c r="G36" s="23"/>
      <c r="H36" s="23"/>
    </row>
    <row r="37" ht="15.75" customHeight="1">
      <c r="A37" s="23"/>
      <c r="B37" s="23"/>
      <c r="C37" s="23"/>
      <c r="E37" s="24"/>
      <c r="F37" s="24"/>
      <c r="G37" s="23"/>
      <c r="H37" s="23"/>
    </row>
    <row r="38" ht="15.75" customHeight="1">
      <c r="A38" s="23"/>
      <c r="B38" s="23"/>
      <c r="C38" s="23"/>
      <c r="E38" s="24"/>
      <c r="F38" s="24"/>
      <c r="G38" s="23"/>
      <c r="H38" s="23"/>
    </row>
    <row r="39" ht="15.75" customHeight="1">
      <c r="A39" s="23"/>
      <c r="B39" s="23"/>
      <c r="C39" s="23"/>
      <c r="E39" s="24"/>
      <c r="F39" s="24"/>
      <c r="G39" s="23"/>
      <c r="H39" s="23"/>
    </row>
    <row r="40" ht="15.75" customHeight="1">
      <c r="A40" s="23"/>
      <c r="B40" s="23"/>
      <c r="C40" s="23"/>
      <c r="E40" s="24"/>
      <c r="F40" s="24"/>
      <c r="G40" s="23"/>
      <c r="H40" s="23"/>
    </row>
    <row r="41" ht="15.75" customHeight="1">
      <c r="A41" s="23"/>
      <c r="B41" s="23"/>
      <c r="C41" s="23"/>
      <c r="E41" s="24"/>
      <c r="F41" s="24"/>
      <c r="G41" s="23"/>
      <c r="H41" s="23"/>
    </row>
    <row r="42" ht="15.75" customHeight="1">
      <c r="A42" s="23"/>
      <c r="B42" s="23"/>
      <c r="C42" s="23"/>
      <c r="E42" s="24"/>
      <c r="F42" s="24"/>
      <c r="G42" s="23"/>
      <c r="H42" s="23"/>
    </row>
    <row r="43" ht="15.75" customHeight="1">
      <c r="A43" s="23"/>
      <c r="B43" s="23"/>
      <c r="C43" s="23"/>
      <c r="E43" s="24"/>
      <c r="F43" s="24"/>
      <c r="G43" s="23"/>
      <c r="H43" s="23"/>
    </row>
    <row r="44" ht="15.75" customHeight="1">
      <c r="A44" s="23"/>
      <c r="B44" s="23"/>
      <c r="C44" s="23"/>
      <c r="E44" s="24"/>
      <c r="F44" s="24"/>
      <c r="G44" s="23"/>
      <c r="H44" s="23"/>
    </row>
    <row r="45" ht="15.75" customHeight="1">
      <c r="A45" s="23"/>
      <c r="B45" s="23"/>
      <c r="C45" s="23"/>
      <c r="E45" s="24"/>
      <c r="F45" s="24"/>
      <c r="G45" s="23"/>
      <c r="H45" s="23"/>
    </row>
    <row r="46" ht="15.75" customHeight="1">
      <c r="A46" s="23"/>
      <c r="B46" s="23"/>
      <c r="C46" s="23"/>
      <c r="E46" s="24"/>
      <c r="F46" s="24"/>
      <c r="G46" s="23"/>
      <c r="H46" s="23"/>
    </row>
    <row r="47" ht="15.75" customHeight="1">
      <c r="A47" s="23"/>
      <c r="B47" s="23"/>
      <c r="C47" s="23"/>
      <c r="E47" s="24"/>
      <c r="F47" s="24"/>
      <c r="G47" s="23"/>
      <c r="H47" s="23"/>
    </row>
    <row r="48" ht="15.75" customHeight="1">
      <c r="A48" s="23"/>
      <c r="B48" s="23"/>
      <c r="C48" s="23"/>
      <c r="E48" s="24"/>
      <c r="F48" s="24"/>
      <c r="G48" s="23"/>
      <c r="H48" s="23"/>
    </row>
    <row r="49" ht="15.75" customHeight="1">
      <c r="A49" s="23"/>
      <c r="B49" s="23"/>
      <c r="C49" s="23"/>
      <c r="E49" s="24"/>
      <c r="F49" s="24"/>
      <c r="G49" s="23"/>
      <c r="H49" s="23"/>
    </row>
    <row r="50" ht="15.75" customHeight="1">
      <c r="A50" s="23"/>
      <c r="B50" s="23"/>
      <c r="C50" s="23"/>
      <c r="E50" s="24"/>
      <c r="F50" s="24"/>
      <c r="G50" s="23"/>
      <c r="H50" s="23"/>
    </row>
    <row r="51" ht="15.75" customHeight="1">
      <c r="A51" s="23"/>
      <c r="B51" s="23"/>
      <c r="C51" s="23"/>
      <c r="E51" s="24"/>
      <c r="F51" s="24"/>
      <c r="G51" s="23"/>
      <c r="H51" s="23"/>
    </row>
    <row r="52" ht="15.75" customHeight="1">
      <c r="A52" s="23"/>
      <c r="B52" s="23"/>
      <c r="C52" s="23"/>
      <c r="E52" s="24"/>
      <c r="F52" s="24"/>
      <c r="G52" s="23"/>
      <c r="H52" s="23"/>
    </row>
    <row r="53" ht="15.75" customHeight="1">
      <c r="A53" s="23"/>
      <c r="B53" s="23"/>
      <c r="C53" s="23"/>
      <c r="E53" s="24"/>
      <c r="F53" s="24"/>
      <c r="G53" s="23"/>
      <c r="H53" s="23"/>
    </row>
    <row r="54" ht="15.75" customHeight="1">
      <c r="A54" s="23"/>
      <c r="B54" s="23"/>
      <c r="C54" s="23"/>
      <c r="E54" s="24"/>
      <c r="F54" s="24"/>
      <c r="G54" s="23"/>
      <c r="H54" s="23"/>
    </row>
    <row r="55" ht="15.75" customHeight="1">
      <c r="A55" s="23"/>
      <c r="B55" s="23"/>
      <c r="C55" s="23"/>
      <c r="E55" s="24"/>
      <c r="F55" s="24"/>
      <c r="G55" s="23"/>
      <c r="H55" s="23"/>
    </row>
    <row r="56" ht="15.75" customHeight="1">
      <c r="A56" s="23"/>
      <c r="B56" s="23"/>
      <c r="C56" s="23"/>
      <c r="E56" s="24"/>
      <c r="F56" s="24"/>
      <c r="G56" s="23"/>
      <c r="H56" s="23"/>
    </row>
    <row r="57" ht="15.75" customHeight="1">
      <c r="A57" s="23"/>
      <c r="B57" s="23"/>
      <c r="C57" s="23"/>
      <c r="E57" s="24"/>
      <c r="F57" s="24"/>
      <c r="G57" s="23"/>
      <c r="H57" s="23"/>
    </row>
    <row r="58" ht="15.75" customHeight="1">
      <c r="A58" s="23"/>
      <c r="B58" s="23"/>
      <c r="C58" s="23"/>
      <c r="E58" s="24"/>
      <c r="F58" s="24"/>
      <c r="G58" s="23"/>
      <c r="H58" s="23"/>
    </row>
    <row r="59" ht="15.75" customHeight="1">
      <c r="A59" s="23"/>
      <c r="B59" s="23"/>
      <c r="C59" s="23"/>
      <c r="E59" s="24"/>
      <c r="F59" s="24"/>
      <c r="G59" s="23"/>
      <c r="H59" s="23"/>
    </row>
    <row r="60" ht="15.75" customHeight="1">
      <c r="A60" s="23"/>
      <c r="B60" s="23"/>
      <c r="C60" s="23"/>
      <c r="E60" s="24"/>
      <c r="F60" s="24"/>
      <c r="G60" s="23"/>
      <c r="H60" s="23"/>
    </row>
    <row r="61" ht="15.75" customHeight="1">
      <c r="A61" s="23"/>
      <c r="B61" s="23"/>
      <c r="C61" s="23"/>
      <c r="E61" s="24"/>
      <c r="F61" s="24"/>
      <c r="G61" s="23"/>
      <c r="H61" s="23"/>
    </row>
    <row r="62" ht="15.75" customHeight="1">
      <c r="A62" s="23"/>
      <c r="B62" s="23"/>
      <c r="C62" s="23"/>
      <c r="E62" s="24"/>
      <c r="F62" s="24"/>
      <c r="G62" s="23"/>
      <c r="H62" s="23"/>
    </row>
    <row r="63" ht="15.75" customHeight="1">
      <c r="A63" s="23"/>
      <c r="B63" s="23"/>
      <c r="C63" s="23"/>
      <c r="E63" s="24"/>
      <c r="F63" s="24"/>
      <c r="G63" s="23"/>
      <c r="H63" s="23"/>
    </row>
    <row r="64" ht="15.75" customHeight="1">
      <c r="A64" s="23"/>
      <c r="B64" s="23"/>
      <c r="C64" s="23"/>
      <c r="E64" s="24"/>
      <c r="F64" s="24"/>
      <c r="G64" s="23"/>
      <c r="H64" s="23"/>
    </row>
    <row r="65" ht="15.75" customHeight="1">
      <c r="A65" s="23"/>
      <c r="B65" s="23"/>
      <c r="C65" s="23"/>
      <c r="E65" s="24"/>
      <c r="F65" s="24"/>
      <c r="G65" s="23"/>
      <c r="H65" s="23"/>
    </row>
    <row r="66" ht="15.75" customHeight="1">
      <c r="A66" s="23"/>
      <c r="B66" s="23"/>
      <c r="C66" s="23"/>
      <c r="E66" s="24"/>
      <c r="F66" s="24"/>
      <c r="G66" s="23"/>
      <c r="H66" s="23"/>
    </row>
    <row r="67" ht="15.75" customHeight="1">
      <c r="A67" s="23"/>
      <c r="B67" s="23"/>
      <c r="C67" s="23"/>
      <c r="E67" s="24"/>
      <c r="F67" s="24"/>
      <c r="G67" s="23"/>
      <c r="H67" s="23"/>
    </row>
    <row r="68" ht="15.75" customHeight="1">
      <c r="A68" s="23"/>
      <c r="B68" s="23"/>
      <c r="C68" s="23"/>
      <c r="E68" s="24"/>
      <c r="F68" s="24"/>
      <c r="G68" s="23"/>
      <c r="H68" s="23"/>
    </row>
    <row r="69" ht="15.75" customHeight="1">
      <c r="A69" s="23"/>
      <c r="B69" s="23"/>
      <c r="C69" s="23"/>
      <c r="E69" s="24"/>
      <c r="F69" s="24"/>
      <c r="G69" s="23"/>
      <c r="H69" s="23"/>
    </row>
    <row r="70" ht="15.75" customHeight="1">
      <c r="A70" s="23"/>
      <c r="B70" s="23"/>
      <c r="C70" s="23"/>
      <c r="E70" s="24"/>
      <c r="F70" s="24"/>
      <c r="G70" s="23"/>
      <c r="H70" s="23"/>
    </row>
    <row r="71" ht="15.75" customHeight="1">
      <c r="A71" s="23"/>
      <c r="B71" s="23"/>
      <c r="C71" s="23"/>
      <c r="E71" s="24"/>
      <c r="F71" s="24"/>
      <c r="G71" s="23"/>
      <c r="H71" s="23"/>
    </row>
    <row r="72" ht="15.75" customHeight="1">
      <c r="A72" s="23"/>
      <c r="B72" s="23"/>
      <c r="C72" s="23"/>
      <c r="E72" s="24"/>
      <c r="F72" s="24"/>
      <c r="G72" s="23"/>
      <c r="H72" s="23"/>
    </row>
    <row r="73" ht="15.75" customHeight="1">
      <c r="A73" s="23"/>
      <c r="B73" s="23"/>
      <c r="C73" s="23"/>
      <c r="E73" s="24"/>
      <c r="F73" s="24"/>
      <c r="G73" s="23"/>
      <c r="H73" s="23"/>
    </row>
    <row r="74" ht="15.75" customHeight="1">
      <c r="A74" s="23"/>
      <c r="B74" s="23"/>
      <c r="C74" s="23"/>
      <c r="E74" s="24"/>
      <c r="F74" s="24"/>
      <c r="G74" s="23"/>
      <c r="H74" s="23"/>
    </row>
    <row r="75" ht="15.75" customHeight="1">
      <c r="A75" s="23"/>
      <c r="B75" s="23"/>
      <c r="C75" s="23"/>
      <c r="E75" s="24"/>
      <c r="F75" s="24"/>
      <c r="G75" s="23"/>
      <c r="H75" s="23"/>
    </row>
    <row r="76" ht="15.75" customHeight="1">
      <c r="A76" s="23"/>
      <c r="B76" s="23"/>
      <c r="C76" s="23"/>
      <c r="E76" s="24"/>
      <c r="F76" s="24"/>
      <c r="G76" s="23"/>
      <c r="H76" s="23"/>
    </row>
    <row r="77" ht="15.75" customHeight="1">
      <c r="A77" s="23"/>
      <c r="B77" s="23"/>
      <c r="C77" s="23"/>
      <c r="E77" s="24"/>
      <c r="F77" s="24"/>
      <c r="G77" s="23"/>
      <c r="H77" s="23"/>
    </row>
    <row r="78" ht="15.75" customHeight="1">
      <c r="A78" s="23"/>
      <c r="B78" s="23"/>
      <c r="C78" s="23"/>
      <c r="E78" s="24"/>
      <c r="F78" s="24"/>
      <c r="G78" s="23"/>
      <c r="H78" s="23"/>
    </row>
    <row r="79" ht="15.75" customHeight="1">
      <c r="A79" s="23"/>
      <c r="B79" s="23"/>
      <c r="C79" s="23"/>
      <c r="E79" s="24"/>
      <c r="F79" s="24"/>
      <c r="G79" s="23"/>
      <c r="H79" s="23"/>
    </row>
    <row r="80" ht="15.75" customHeight="1">
      <c r="A80" s="23"/>
      <c r="B80" s="23"/>
      <c r="C80" s="23"/>
      <c r="E80" s="24"/>
      <c r="F80" s="24"/>
      <c r="G80" s="23"/>
      <c r="H80" s="23"/>
    </row>
    <row r="81" ht="15.75" customHeight="1">
      <c r="A81" s="23"/>
      <c r="B81" s="23"/>
      <c r="C81" s="23"/>
      <c r="E81" s="24"/>
      <c r="F81" s="24"/>
      <c r="G81" s="23"/>
      <c r="H81" s="23"/>
    </row>
    <row r="82" ht="15.75" customHeight="1">
      <c r="A82" s="23"/>
      <c r="B82" s="23"/>
      <c r="C82" s="23"/>
      <c r="E82" s="24"/>
      <c r="F82" s="24"/>
      <c r="G82" s="23"/>
      <c r="H82" s="23"/>
    </row>
    <row r="83" ht="15.75" customHeight="1">
      <c r="A83" s="23"/>
      <c r="B83" s="23"/>
      <c r="C83" s="23"/>
      <c r="E83" s="24"/>
      <c r="F83" s="24"/>
      <c r="G83" s="23"/>
      <c r="H83" s="23"/>
    </row>
    <row r="84" ht="15.75" customHeight="1">
      <c r="A84" s="23"/>
      <c r="B84" s="23"/>
      <c r="C84" s="23"/>
      <c r="E84" s="24"/>
      <c r="F84" s="24"/>
      <c r="G84" s="23"/>
      <c r="H84" s="23"/>
    </row>
    <row r="85" ht="15.75" customHeight="1">
      <c r="A85" s="23"/>
      <c r="B85" s="23"/>
      <c r="C85" s="23"/>
      <c r="E85" s="24"/>
      <c r="F85" s="24"/>
      <c r="G85" s="23"/>
      <c r="H85" s="23"/>
    </row>
    <row r="86" ht="15.75" customHeight="1">
      <c r="A86" s="23"/>
      <c r="B86" s="23"/>
      <c r="C86" s="23"/>
      <c r="E86" s="24"/>
      <c r="F86" s="24"/>
      <c r="G86" s="23"/>
      <c r="H86" s="23"/>
    </row>
    <row r="87" ht="15.75" customHeight="1">
      <c r="A87" s="23"/>
      <c r="B87" s="23"/>
      <c r="C87" s="23"/>
      <c r="E87" s="24"/>
      <c r="F87" s="24"/>
      <c r="G87" s="23"/>
      <c r="H87" s="23"/>
    </row>
    <row r="88" ht="15.75" customHeight="1">
      <c r="A88" s="23"/>
      <c r="B88" s="23"/>
      <c r="C88" s="23"/>
      <c r="E88" s="24"/>
      <c r="F88" s="24"/>
      <c r="G88" s="23"/>
      <c r="H88" s="23"/>
    </row>
    <row r="89" ht="15.75" customHeight="1">
      <c r="A89" s="23"/>
      <c r="B89" s="23"/>
      <c r="C89" s="23"/>
      <c r="E89" s="24"/>
      <c r="F89" s="24"/>
      <c r="G89" s="23"/>
      <c r="H89" s="23"/>
    </row>
    <row r="90" ht="15.75" customHeight="1">
      <c r="A90" s="23"/>
      <c r="B90" s="23"/>
      <c r="C90" s="23"/>
      <c r="E90" s="24"/>
      <c r="F90" s="24"/>
      <c r="G90" s="23"/>
      <c r="H90" s="23"/>
    </row>
    <row r="91" ht="15.75" customHeight="1">
      <c r="A91" s="23"/>
      <c r="B91" s="23"/>
      <c r="C91" s="23"/>
      <c r="E91" s="24"/>
      <c r="F91" s="24"/>
      <c r="G91" s="23"/>
      <c r="H91" s="23"/>
    </row>
    <row r="92" ht="15.75" customHeight="1">
      <c r="A92" s="23"/>
      <c r="B92" s="23"/>
      <c r="C92" s="23"/>
      <c r="E92" s="24"/>
      <c r="F92" s="24"/>
      <c r="G92" s="23"/>
      <c r="H92" s="23"/>
    </row>
    <row r="93" ht="15.75" customHeight="1">
      <c r="A93" s="23"/>
      <c r="B93" s="23"/>
      <c r="C93" s="23"/>
      <c r="E93" s="24"/>
      <c r="F93" s="24"/>
      <c r="G93" s="23"/>
      <c r="H93" s="23"/>
    </row>
    <row r="94" ht="15.75" customHeight="1">
      <c r="A94" s="23"/>
      <c r="B94" s="23"/>
      <c r="C94" s="23"/>
      <c r="E94" s="24"/>
      <c r="F94" s="24"/>
      <c r="G94" s="23"/>
      <c r="H94" s="23"/>
    </row>
    <row r="95" ht="15.75" customHeight="1">
      <c r="A95" s="23"/>
      <c r="B95" s="23"/>
      <c r="C95" s="23"/>
      <c r="E95" s="24"/>
      <c r="F95" s="24"/>
      <c r="G95" s="23"/>
      <c r="H95" s="23"/>
    </row>
    <row r="96" ht="15.75" customHeight="1">
      <c r="A96" s="23"/>
      <c r="B96" s="23"/>
      <c r="C96" s="23"/>
      <c r="E96" s="24"/>
      <c r="F96" s="24"/>
      <c r="G96" s="23"/>
      <c r="H96" s="23"/>
    </row>
    <row r="97" ht="15.75" customHeight="1">
      <c r="A97" s="23"/>
      <c r="B97" s="23"/>
      <c r="C97" s="23"/>
      <c r="E97" s="24"/>
      <c r="F97" s="24"/>
      <c r="G97" s="23"/>
      <c r="H97" s="23"/>
    </row>
    <row r="98" ht="15.75" customHeight="1">
      <c r="A98" s="23"/>
      <c r="B98" s="23"/>
      <c r="C98" s="23"/>
      <c r="E98" s="24"/>
      <c r="F98" s="24"/>
      <c r="G98" s="23"/>
      <c r="H98" s="23"/>
    </row>
    <row r="99" ht="15.75" customHeight="1">
      <c r="A99" s="23"/>
      <c r="B99" s="23"/>
      <c r="C99" s="23"/>
      <c r="E99" s="24"/>
      <c r="F99" s="24"/>
      <c r="G99" s="23"/>
      <c r="H99" s="23"/>
    </row>
    <row r="100" ht="15.75" customHeight="1">
      <c r="A100" s="23"/>
      <c r="B100" s="23"/>
      <c r="C100" s="23"/>
      <c r="E100" s="24"/>
      <c r="F100" s="24"/>
      <c r="G100" s="23"/>
      <c r="H100" s="23"/>
    </row>
    <row r="101" ht="15.75" customHeight="1">
      <c r="A101" s="23"/>
      <c r="B101" s="23"/>
      <c r="C101" s="23"/>
      <c r="E101" s="24"/>
      <c r="F101" s="24"/>
      <c r="G101" s="23"/>
      <c r="H101" s="23"/>
    </row>
    <row r="102" ht="15.75" customHeight="1">
      <c r="A102" s="23"/>
      <c r="B102" s="23"/>
      <c r="C102" s="23"/>
      <c r="E102" s="24"/>
      <c r="F102" s="24"/>
      <c r="G102" s="23"/>
      <c r="H102" s="23"/>
    </row>
    <row r="103" ht="15.75" customHeight="1">
      <c r="A103" s="23"/>
      <c r="B103" s="23"/>
      <c r="C103" s="23"/>
      <c r="E103" s="24"/>
      <c r="F103" s="24"/>
      <c r="G103" s="23"/>
      <c r="H103" s="23"/>
    </row>
    <row r="104" ht="15.75" customHeight="1">
      <c r="A104" s="23"/>
      <c r="B104" s="23"/>
      <c r="C104" s="23"/>
      <c r="E104" s="24"/>
      <c r="F104" s="24"/>
      <c r="G104" s="23"/>
      <c r="H104" s="23"/>
    </row>
    <row r="105" ht="15.75" customHeight="1">
      <c r="A105" s="23"/>
      <c r="B105" s="23"/>
      <c r="C105" s="23"/>
      <c r="E105" s="24"/>
      <c r="F105" s="24"/>
      <c r="G105" s="23"/>
      <c r="H105" s="23"/>
    </row>
    <row r="106" ht="15.75" customHeight="1">
      <c r="A106" s="23"/>
      <c r="B106" s="23"/>
      <c r="C106" s="23"/>
      <c r="E106" s="24"/>
      <c r="F106" s="24"/>
      <c r="G106" s="23"/>
      <c r="H106" s="23"/>
    </row>
    <row r="107" ht="15.75" customHeight="1">
      <c r="A107" s="23"/>
      <c r="B107" s="23"/>
      <c r="C107" s="23"/>
      <c r="E107" s="24"/>
      <c r="F107" s="24"/>
      <c r="G107" s="23"/>
      <c r="H107" s="23"/>
    </row>
    <row r="108" ht="15.75" customHeight="1">
      <c r="A108" s="23"/>
      <c r="B108" s="23"/>
      <c r="C108" s="23"/>
      <c r="E108" s="24"/>
      <c r="F108" s="24"/>
      <c r="G108" s="23"/>
      <c r="H108" s="23"/>
    </row>
    <row r="109" ht="15.75" customHeight="1">
      <c r="A109" s="23"/>
      <c r="B109" s="23"/>
      <c r="C109" s="23"/>
      <c r="E109" s="24"/>
      <c r="F109" s="24"/>
      <c r="G109" s="23"/>
      <c r="H109" s="23"/>
    </row>
    <row r="110" ht="15.75" customHeight="1">
      <c r="A110" s="23"/>
      <c r="B110" s="23"/>
      <c r="C110" s="23"/>
      <c r="E110" s="24"/>
      <c r="F110" s="24"/>
      <c r="G110" s="23"/>
      <c r="H110" s="23"/>
    </row>
    <row r="111" ht="15.75" customHeight="1">
      <c r="A111" s="23"/>
      <c r="B111" s="23"/>
      <c r="C111" s="23"/>
      <c r="E111" s="24"/>
      <c r="F111" s="24"/>
      <c r="G111" s="23"/>
      <c r="H111" s="23"/>
    </row>
    <row r="112" ht="15.75" customHeight="1">
      <c r="A112" s="23"/>
      <c r="B112" s="23"/>
      <c r="C112" s="23"/>
      <c r="E112" s="24"/>
      <c r="F112" s="24"/>
      <c r="G112" s="23"/>
      <c r="H112" s="23"/>
    </row>
    <row r="113" ht="15.75" customHeight="1">
      <c r="A113" s="23"/>
      <c r="B113" s="23"/>
      <c r="C113" s="23"/>
      <c r="E113" s="24"/>
      <c r="F113" s="24"/>
      <c r="G113" s="23"/>
      <c r="H113" s="23"/>
    </row>
    <row r="114" ht="15.75" customHeight="1">
      <c r="A114" s="23"/>
      <c r="B114" s="23"/>
      <c r="C114" s="23"/>
      <c r="E114" s="24"/>
      <c r="F114" s="24"/>
      <c r="G114" s="23"/>
      <c r="H114" s="23"/>
    </row>
    <row r="115" ht="15.75" customHeight="1">
      <c r="A115" s="23"/>
      <c r="B115" s="23"/>
      <c r="C115" s="23"/>
      <c r="E115" s="24"/>
      <c r="F115" s="24"/>
      <c r="G115" s="23"/>
      <c r="H115" s="23"/>
    </row>
    <row r="116" ht="15.75" customHeight="1">
      <c r="A116" s="23"/>
      <c r="B116" s="23"/>
      <c r="C116" s="23"/>
      <c r="E116" s="24"/>
      <c r="F116" s="24"/>
      <c r="G116" s="23"/>
      <c r="H116" s="23"/>
    </row>
    <row r="117" ht="15.75" customHeight="1">
      <c r="A117" s="23"/>
      <c r="B117" s="23"/>
      <c r="C117" s="23"/>
      <c r="E117" s="24"/>
      <c r="F117" s="24"/>
      <c r="G117" s="23"/>
      <c r="H117" s="23"/>
    </row>
    <row r="118" ht="15.75" customHeight="1">
      <c r="A118" s="23"/>
      <c r="B118" s="23"/>
      <c r="C118" s="23"/>
      <c r="E118" s="24"/>
      <c r="F118" s="24"/>
      <c r="G118" s="23"/>
      <c r="H118" s="23"/>
    </row>
    <row r="119" ht="15.75" customHeight="1">
      <c r="A119" s="23"/>
      <c r="B119" s="23"/>
      <c r="C119" s="23"/>
      <c r="E119" s="24"/>
      <c r="F119" s="24"/>
      <c r="G119" s="23"/>
      <c r="H119" s="23"/>
    </row>
    <row r="120" ht="15.75" customHeight="1">
      <c r="A120" s="23"/>
      <c r="B120" s="23"/>
      <c r="C120" s="23"/>
      <c r="E120" s="24"/>
      <c r="F120" s="24"/>
      <c r="G120" s="23"/>
      <c r="H120" s="23"/>
    </row>
    <row r="121" ht="15.75" customHeight="1">
      <c r="A121" s="23"/>
      <c r="B121" s="23"/>
      <c r="C121" s="23"/>
      <c r="E121" s="24"/>
      <c r="F121" s="24"/>
      <c r="G121" s="23"/>
      <c r="H121" s="23"/>
    </row>
    <row r="122" ht="15.75" customHeight="1">
      <c r="A122" s="23"/>
      <c r="B122" s="23"/>
      <c r="C122" s="23"/>
      <c r="E122" s="24"/>
      <c r="F122" s="24"/>
      <c r="G122" s="23"/>
      <c r="H122" s="23"/>
    </row>
    <row r="123" ht="15.75" customHeight="1">
      <c r="A123" s="23"/>
      <c r="B123" s="23"/>
      <c r="C123" s="23"/>
      <c r="E123" s="24"/>
      <c r="F123" s="24"/>
      <c r="G123" s="23"/>
      <c r="H123" s="23"/>
    </row>
    <row r="124" ht="15.75" customHeight="1">
      <c r="A124" s="23"/>
      <c r="B124" s="23"/>
      <c r="C124" s="23"/>
      <c r="E124" s="24"/>
      <c r="F124" s="24"/>
      <c r="G124" s="23"/>
      <c r="H124" s="23"/>
    </row>
    <row r="125" ht="15.75" customHeight="1">
      <c r="A125" s="23"/>
      <c r="B125" s="23"/>
      <c r="C125" s="23"/>
      <c r="E125" s="24"/>
      <c r="F125" s="24"/>
      <c r="G125" s="23"/>
      <c r="H125" s="23"/>
    </row>
    <row r="126" ht="15.75" customHeight="1">
      <c r="A126" s="23"/>
      <c r="B126" s="23"/>
      <c r="C126" s="23"/>
      <c r="E126" s="24"/>
      <c r="F126" s="24"/>
      <c r="G126" s="23"/>
      <c r="H126" s="23"/>
    </row>
    <row r="127" ht="15.75" customHeight="1">
      <c r="A127" s="23"/>
      <c r="B127" s="23"/>
      <c r="C127" s="23"/>
      <c r="E127" s="24"/>
      <c r="F127" s="24"/>
      <c r="G127" s="23"/>
      <c r="H127" s="23"/>
    </row>
    <row r="128" ht="15.75" customHeight="1">
      <c r="A128" s="23"/>
      <c r="B128" s="23"/>
      <c r="C128" s="23"/>
      <c r="E128" s="24"/>
      <c r="F128" s="24"/>
      <c r="G128" s="23"/>
      <c r="H128" s="23"/>
    </row>
    <row r="129" ht="15.75" customHeight="1">
      <c r="A129" s="23"/>
      <c r="B129" s="23"/>
      <c r="C129" s="23"/>
      <c r="E129" s="24"/>
      <c r="F129" s="24"/>
      <c r="G129" s="23"/>
      <c r="H129" s="23"/>
    </row>
    <row r="130" ht="15.75" customHeight="1">
      <c r="A130" s="23"/>
      <c r="B130" s="23"/>
      <c r="C130" s="23"/>
      <c r="E130" s="24"/>
      <c r="F130" s="24"/>
      <c r="G130" s="23"/>
      <c r="H130" s="23"/>
    </row>
    <row r="131" ht="15.75" customHeight="1">
      <c r="A131" s="23"/>
      <c r="B131" s="23"/>
      <c r="C131" s="23"/>
      <c r="E131" s="24"/>
      <c r="F131" s="24"/>
      <c r="G131" s="23"/>
      <c r="H131" s="23"/>
    </row>
    <row r="132" ht="15.75" customHeight="1">
      <c r="A132" s="23"/>
      <c r="B132" s="23"/>
      <c r="C132" s="23"/>
      <c r="E132" s="24"/>
      <c r="F132" s="24"/>
      <c r="G132" s="23"/>
      <c r="H132" s="23"/>
    </row>
    <row r="133" ht="15.75" customHeight="1">
      <c r="A133" s="23"/>
      <c r="B133" s="23"/>
      <c r="C133" s="23"/>
      <c r="E133" s="24"/>
      <c r="F133" s="24"/>
      <c r="G133" s="23"/>
      <c r="H133" s="23"/>
    </row>
    <row r="134" ht="15.75" customHeight="1">
      <c r="A134" s="23"/>
      <c r="B134" s="23"/>
      <c r="C134" s="23"/>
      <c r="E134" s="24"/>
      <c r="F134" s="24"/>
      <c r="G134" s="23"/>
      <c r="H134" s="23"/>
    </row>
    <row r="135" ht="15.75" customHeight="1">
      <c r="A135" s="23"/>
      <c r="B135" s="23"/>
      <c r="C135" s="23"/>
      <c r="E135" s="24"/>
      <c r="F135" s="24"/>
      <c r="G135" s="23"/>
      <c r="H135" s="23"/>
    </row>
    <row r="136" ht="15.75" customHeight="1">
      <c r="A136" s="23"/>
      <c r="B136" s="23"/>
      <c r="C136" s="23"/>
      <c r="E136" s="24"/>
      <c r="F136" s="24"/>
      <c r="G136" s="23"/>
      <c r="H136" s="23"/>
    </row>
    <row r="137" ht="15.75" customHeight="1">
      <c r="A137" s="23"/>
      <c r="B137" s="23"/>
      <c r="C137" s="23"/>
      <c r="E137" s="24"/>
      <c r="F137" s="24"/>
      <c r="G137" s="23"/>
      <c r="H137" s="23"/>
    </row>
    <row r="138" ht="15.75" customHeight="1">
      <c r="A138" s="23"/>
      <c r="B138" s="23"/>
      <c r="C138" s="23"/>
      <c r="E138" s="24"/>
      <c r="F138" s="24"/>
      <c r="G138" s="23"/>
      <c r="H138" s="23"/>
    </row>
    <row r="139" ht="15.75" customHeight="1">
      <c r="A139" s="23"/>
      <c r="B139" s="23"/>
      <c r="C139" s="23"/>
      <c r="E139" s="24"/>
      <c r="F139" s="24"/>
      <c r="G139" s="23"/>
      <c r="H139" s="23"/>
    </row>
    <row r="140" ht="15.75" customHeight="1">
      <c r="A140" s="23"/>
      <c r="B140" s="23"/>
      <c r="C140" s="23"/>
      <c r="E140" s="24"/>
      <c r="F140" s="24"/>
      <c r="G140" s="23"/>
      <c r="H140" s="23"/>
    </row>
    <row r="141" ht="15.75" customHeight="1">
      <c r="A141" s="23"/>
      <c r="B141" s="23"/>
      <c r="C141" s="23"/>
      <c r="E141" s="24"/>
      <c r="F141" s="24"/>
      <c r="G141" s="23"/>
      <c r="H141" s="23"/>
    </row>
    <row r="142" ht="15.75" customHeight="1">
      <c r="A142" s="23"/>
      <c r="B142" s="23"/>
      <c r="C142" s="23"/>
      <c r="E142" s="24"/>
      <c r="F142" s="24"/>
      <c r="G142" s="23"/>
      <c r="H142" s="23"/>
    </row>
    <row r="143" ht="15.75" customHeight="1">
      <c r="A143" s="23"/>
      <c r="B143" s="23"/>
      <c r="C143" s="23"/>
      <c r="E143" s="24"/>
      <c r="F143" s="24"/>
      <c r="G143" s="23"/>
      <c r="H143" s="23"/>
    </row>
    <row r="144" ht="15.75" customHeight="1">
      <c r="A144" s="23"/>
      <c r="B144" s="23"/>
      <c r="C144" s="23"/>
      <c r="E144" s="24"/>
      <c r="F144" s="24"/>
      <c r="G144" s="23"/>
      <c r="H144" s="23"/>
    </row>
    <row r="145" ht="15.75" customHeight="1">
      <c r="A145" s="23"/>
      <c r="B145" s="23"/>
      <c r="C145" s="23"/>
      <c r="E145" s="24"/>
      <c r="F145" s="24"/>
      <c r="G145" s="23"/>
      <c r="H145" s="23"/>
    </row>
    <row r="146" ht="15.75" customHeight="1">
      <c r="A146" s="23"/>
      <c r="B146" s="23"/>
      <c r="C146" s="23"/>
      <c r="E146" s="24"/>
      <c r="F146" s="24"/>
      <c r="G146" s="23"/>
      <c r="H146" s="23"/>
    </row>
    <row r="147" ht="15.75" customHeight="1">
      <c r="A147" s="23"/>
      <c r="B147" s="23"/>
      <c r="C147" s="23"/>
      <c r="E147" s="24"/>
      <c r="F147" s="24"/>
      <c r="G147" s="23"/>
      <c r="H147" s="23"/>
    </row>
    <row r="148" ht="15.75" customHeight="1">
      <c r="A148" s="23"/>
      <c r="B148" s="23"/>
      <c r="C148" s="23"/>
      <c r="E148" s="24"/>
      <c r="F148" s="24"/>
      <c r="G148" s="23"/>
      <c r="H148" s="23"/>
    </row>
    <row r="149" ht="15.75" customHeight="1">
      <c r="A149" s="23"/>
      <c r="B149" s="23"/>
      <c r="C149" s="23"/>
      <c r="E149" s="24"/>
      <c r="F149" s="24"/>
      <c r="G149" s="23"/>
      <c r="H149" s="23"/>
    </row>
    <row r="150" ht="15.75" customHeight="1">
      <c r="A150" s="23"/>
      <c r="B150" s="23"/>
      <c r="C150" s="23"/>
      <c r="E150" s="24"/>
      <c r="F150" s="24"/>
      <c r="G150" s="23"/>
      <c r="H150" s="23"/>
    </row>
    <row r="151" ht="15.75" customHeight="1">
      <c r="A151" s="23"/>
      <c r="B151" s="23"/>
      <c r="C151" s="23"/>
      <c r="E151" s="24"/>
      <c r="F151" s="24"/>
      <c r="G151" s="23"/>
      <c r="H151" s="23"/>
    </row>
    <row r="152" ht="15.75" customHeight="1">
      <c r="A152" s="23"/>
      <c r="B152" s="23"/>
      <c r="C152" s="23"/>
      <c r="E152" s="24"/>
      <c r="F152" s="24"/>
      <c r="G152" s="23"/>
      <c r="H152" s="23"/>
    </row>
    <row r="153" ht="15.75" customHeight="1">
      <c r="A153" s="23"/>
      <c r="B153" s="23"/>
      <c r="C153" s="23"/>
      <c r="E153" s="24"/>
      <c r="F153" s="24"/>
      <c r="G153" s="23"/>
      <c r="H153" s="23"/>
    </row>
    <row r="154" ht="15.75" customHeight="1">
      <c r="A154" s="23"/>
      <c r="B154" s="23"/>
      <c r="C154" s="23"/>
      <c r="E154" s="24"/>
      <c r="F154" s="24"/>
      <c r="G154" s="23"/>
      <c r="H154" s="23"/>
    </row>
    <row r="155" ht="15.75" customHeight="1">
      <c r="A155" s="23"/>
      <c r="B155" s="23"/>
      <c r="C155" s="23"/>
      <c r="E155" s="24"/>
      <c r="F155" s="24"/>
      <c r="G155" s="23"/>
      <c r="H155" s="23"/>
    </row>
    <row r="156" ht="15.75" customHeight="1">
      <c r="A156" s="23"/>
      <c r="B156" s="23"/>
      <c r="C156" s="23"/>
      <c r="E156" s="24"/>
      <c r="F156" s="24"/>
      <c r="G156" s="23"/>
      <c r="H156" s="23"/>
    </row>
    <row r="157" ht="15.75" customHeight="1">
      <c r="A157" s="23"/>
      <c r="B157" s="23"/>
      <c r="C157" s="23"/>
      <c r="E157" s="24"/>
      <c r="F157" s="24"/>
      <c r="G157" s="23"/>
      <c r="H157" s="23"/>
    </row>
    <row r="158" ht="15.75" customHeight="1">
      <c r="A158" s="23"/>
      <c r="B158" s="23"/>
      <c r="C158" s="23"/>
      <c r="E158" s="24"/>
      <c r="F158" s="24"/>
      <c r="G158" s="23"/>
      <c r="H158" s="23"/>
    </row>
    <row r="159" ht="15.75" customHeight="1">
      <c r="A159" s="23"/>
      <c r="B159" s="23"/>
      <c r="C159" s="23"/>
      <c r="E159" s="24"/>
      <c r="F159" s="24"/>
      <c r="G159" s="23"/>
      <c r="H159" s="23"/>
    </row>
    <row r="160" ht="15.75" customHeight="1">
      <c r="A160" s="23"/>
      <c r="B160" s="23"/>
      <c r="C160" s="23"/>
      <c r="E160" s="24"/>
      <c r="F160" s="24"/>
      <c r="G160" s="23"/>
      <c r="H160" s="23"/>
    </row>
    <row r="161" ht="15.75" customHeight="1">
      <c r="A161" s="23"/>
      <c r="B161" s="23"/>
      <c r="C161" s="23"/>
      <c r="E161" s="24"/>
      <c r="F161" s="24"/>
      <c r="G161" s="23"/>
      <c r="H161" s="23"/>
    </row>
    <row r="162" ht="15.75" customHeight="1">
      <c r="A162" s="23"/>
      <c r="B162" s="23"/>
      <c r="C162" s="23"/>
      <c r="E162" s="24"/>
      <c r="F162" s="24"/>
      <c r="G162" s="23"/>
      <c r="H162" s="23"/>
    </row>
    <row r="163" ht="15.75" customHeight="1">
      <c r="A163" s="23"/>
      <c r="B163" s="23"/>
      <c r="C163" s="23"/>
      <c r="E163" s="24"/>
      <c r="F163" s="24"/>
      <c r="G163" s="23"/>
      <c r="H163" s="23"/>
    </row>
    <row r="164" ht="15.75" customHeight="1">
      <c r="A164" s="23"/>
      <c r="B164" s="23"/>
      <c r="C164" s="23"/>
      <c r="E164" s="24"/>
      <c r="F164" s="24"/>
      <c r="G164" s="23"/>
      <c r="H164" s="23"/>
    </row>
    <row r="165" ht="15.75" customHeight="1">
      <c r="A165" s="23"/>
      <c r="B165" s="23"/>
      <c r="C165" s="23"/>
      <c r="E165" s="24"/>
      <c r="F165" s="24"/>
      <c r="G165" s="23"/>
      <c r="H165" s="23"/>
    </row>
    <row r="166" ht="15.75" customHeight="1">
      <c r="A166" s="23"/>
      <c r="B166" s="23"/>
      <c r="C166" s="23"/>
      <c r="E166" s="24"/>
      <c r="F166" s="24"/>
      <c r="G166" s="23"/>
      <c r="H166" s="23"/>
    </row>
    <row r="167" ht="15.75" customHeight="1">
      <c r="A167" s="23"/>
      <c r="B167" s="23"/>
      <c r="C167" s="23"/>
      <c r="E167" s="24"/>
      <c r="F167" s="24"/>
      <c r="G167" s="23"/>
      <c r="H167" s="23"/>
    </row>
    <row r="168" ht="15.75" customHeight="1">
      <c r="A168" s="23"/>
      <c r="B168" s="23"/>
      <c r="C168" s="23"/>
      <c r="E168" s="24"/>
      <c r="F168" s="24"/>
      <c r="G168" s="23"/>
      <c r="H168" s="23"/>
    </row>
    <row r="169" ht="15.75" customHeight="1">
      <c r="A169" s="23"/>
      <c r="B169" s="23"/>
      <c r="C169" s="23"/>
      <c r="E169" s="24"/>
      <c r="F169" s="24"/>
      <c r="G169" s="23"/>
      <c r="H169" s="23"/>
    </row>
    <row r="170" ht="15.75" customHeight="1">
      <c r="A170" s="23"/>
      <c r="B170" s="23"/>
      <c r="C170" s="23"/>
      <c r="E170" s="24"/>
      <c r="F170" s="24"/>
      <c r="G170" s="23"/>
      <c r="H170" s="23"/>
    </row>
    <row r="171" ht="15.75" customHeight="1">
      <c r="A171" s="23"/>
      <c r="B171" s="23"/>
      <c r="C171" s="23"/>
      <c r="E171" s="24"/>
      <c r="F171" s="24"/>
      <c r="G171" s="23"/>
      <c r="H171" s="23"/>
    </row>
    <row r="172" ht="15.75" customHeight="1">
      <c r="A172" s="23"/>
      <c r="B172" s="23"/>
      <c r="C172" s="23"/>
      <c r="E172" s="24"/>
      <c r="F172" s="24"/>
      <c r="G172" s="23"/>
      <c r="H172" s="23"/>
    </row>
    <row r="173" ht="15.75" customHeight="1">
      <c r="A173" s="23"/>
      <c r="B173" s="23"/>
      <c r="C173" s="23"/>
      <c r="E173" s="24"/>
      <c r="F173" s="24"/>
      <c r="G173" s="23"/>
      <c r="H173" s="23"/>
    </row>
    <row r="174" ht="15.75" customHeight="1">
      <c r="A174" s="23"/>
      <c r="B174" s="23"/>
      <c r="C174" s="23"/>
      <c r="E174" s="24"/>
      <c r="F174" s="24"/>
      <c r="G174" s="23"/>
      <c r="H174" s="23"/>
    </row>
    <row r="175" ht="15.75" customHeight="1">
      <c r="A175" s="23"/>
      <c r="B175" s="23"/>
      <c r="C175" s="23"/>
      <c r="E175" s="24"/>
      <c r="F175" s="24"/>
      <c r="G175" s="23"/>
      <c r="H175" s="23"/>
    </row>
    <row r="176" ht="15.75" customHeight="1">
      <c r="A176" s="23"/>
      <c r="B176" s="23"/>
      <c r="C176" s="23"/>
      <c r="E176" s="24"/>
      <c r="F176" s="24"/>
      <c r="G176" s="23"/>
      <c r="H176" s="23"/>
    </row>
    <row r="177" ht="15.75" customHeight="1">
      <c r="A177" s="23"/>
      <c r="B177" s="23"/>
      <c r="C177" s="23"/>
      <c r="E177" s="24"/>
      <c r="F177" s="24"/>
      <c r="G177" s="23"/>
      <c r="H177" s="23"/>
    </row>
    <row r="178" ht="15.75" customHeight="1">
      <c r="A178" s="23"/>
      <c r="B178" s="23"/>
      <c r="C178" s="23"/>
      <c r="E178" s="24"/>
      <c r="F178" s="24"/>
      <c r="G178" s="23"/>
      <c r="H178" s="23"/>
    </row>
    <row r="179" ht="15.75" customHeight="1">
      <c r="A179" s="23"/>
      <c r="B179" s="23"/>
      <c r="C179" s="23"/>
      <c r="E179" s="24"/>
      <c r="F179" s="24"/>
      <c r="G179" s="23"/>
      <c r="H179" s="23"/>
    </row>
    <row r="180" ht="15.75" customHeight="1">
      <c r="A180" s="23"/>
      <c r="B180" s="23"/>
      <c r="C180" s="23"/>
      <c r="E180" s="24"/>
      <c r="F180" s="24"/>
      <c r="G180" s="23"/>
      <c r="H180" s="23"/>
    </row>
    <row r="181" ht="15.75" customHeight="1">
      <c r="A181" s="23"/>
      <c r="B181" s="23"/>
      <c r="C181" s="23"/>
      <c r="E181" s="24"/>
      <c r="F181" s="24"/>
      <c r="G181" s="23"/>
      <c r="H181" s="23"/>
    </row>
    <row r="182" ht="15.75" customHeight="1">
      <c r="A182" s="23"/>
      <c r="B182" s="23"/>
      <c r="C182" s="23"/>
      <c r="E182" s="24"/>
      <c r="F182" s="24"/>
      <c r="G182" s="23"/>
      <c r="H182" s="23"/>
    </row>
    <row r="183" ht="15.75" customHeight="1">
      <c r="A183" s="23"/>
      <c r="B183" s="23"/>
      <c r="C183" s="23"/>
      <c r="E183" s="24"/>
      <c r="F183" s="24"/>
      <c r="G183" s="23"/>
      <c r="H183" s="23"/>
    </row>
    <row r="184" ht="15.75" customHeight="1">
      <c r="A184" s="23"/>
      <c r="B184" s="23"/>
      <c r="C184" s="23"/>
      <c r="E184" s="24"/>
      <c r="F184" s="24"/>
      <c r="G184" s="23"/>
      <c r="H184" s="23"/>
    </row>
    <row r="185" ht="15.75" customHeight="1">
      <c r="A185" s="23"/>
      <c r="B185" s="23"/>
      <c r="C185" s="23"/>
      <c r="E185" s="24"/>
      <c r="F185" s="24"/>
      <c r="G185" s="23"/>
      <c r="H185" s="23"/>
    </row>
    <row r="186" ht="15.75" customHeight="1">
      <c r="A186" s="23"/>
      <c r="B186" s="23"/>
      <c r="C186" s="23"/>
      <c r="E186" s="24"/>
      <c r="F186" s="24"/>
      <c r="G186" s="23"/>
      <c r="H186" s="23"/>
    </row>
    <row r="187" ht="15.75" customHeight="1">
      <c r="A187" s="23"/>
      <c r="B187" s="23"/>
      <c r="C187" s="23"/>
      <c r="E187" s="24"/>
      <c r="F187" s="24"/>
      <c r="G187" s="23"/>
      <c r="H187" s="23"/>
    </row>
    <row r="188" ht="15.75" customHeight="1">
      <c r="A188" s="23"/>
      <c r="B188" s="23"/>
      <c r="C188" s="23"/>
      <c r="E188" s="24"/>
      <c r="F188" s="24"/>
      <c r="G188" s="23"/>
      <c r="H188" s="23"/>
    </row>
    <row r="189" ht="15.75" customHeight="1">
      <c r="A189" s="23"/>
      <c r="B189" s="23"/>
      <c r="C189" s="23"/>
      <c r="E189" s="24"/>
      <c r="F189" s="24"/>
      <c r="G189" s="23"/>
      <c r="H189" s="23"/>
    </row>
    <row r="190" ht="15.75" customHeight="1">
      <c r="A190" s="23"/>
      <c r="B190" s="23"/>
      <c r="C190" s="23"/>
      <c r="E190" s="24"/>
      <c r="F190" s="24"/>
      <c r="G190" s="23"/>
      <c r="H190" s="23"/>
    </row>
    <row r="191" ht="15.75" customHeight="1">
      <c r="A191" s="23"/>
      <c r="B191" s="23"/>
      <c r="C191" s="23"/>
      <c r="E191" s="24"/>
      <c r="F191" s="24"/>
      <c r="G191" s="23"/>
      <c r="H191" s="23"/>
    </row>
    <row r="192" ht="15.75" customHeight="1">
      <c r="A192" s="23"/>
      <c r="B192" s="23"/>
      <c r="C192" s="23"/>
      <c r="E192" s="24"/>
      <c r="F192" s="24"/>
      <c r="G192" s="23"/>
      <c r="H192" s="23"/>
    </row>
    <row r="193" ht="15.75" customHeight="1">
      <c r="A193" s="23"/>
      <c r="B193" s="23"/>
      <c r="C193" s="23"/>
      <c r="E193" s="24"/>
      <c r="F193" s="24"/>
      <c r="G193" s="23"/>
      <c r="H193" s="23"/>
    </row>
    <row r="194" ht="15.75" customHeight="1">
      <c r="A194" s="23"/>
      <c r="B194" s="23"/>
      <c r="C194" s="23"/>
      <c r="E194" s="24"/>
      <c r="F194" s="24"/>
      <c r="G194" s="23"/>
      <c r="H194" s="23"/>
    </row>
    <row r="195" ht="15.75" customHeight="1">
      <c r="A195" s="23"/>
      <c r="B195" s="23"/>
      <c r="C195" s="23"/>
      <c r="E195" s="24"/>
      <c r="F195" s="24"/>
      <c r="G195" s="23"/>
      <c r="H195" s="23"/>
    </row>
    <row r="196" ht="15.75" customHeight="1">
      <c r="A196" s="23"/>
      <c r="B196" s="23"/>
      <c r="C196" s="23"/>
      <c r="E196" s="24"/>
      <c r="F196" s="24"/>
      <c r="G196" s="23"/>
      <c r="H196" s="23"/>
    </row>
    <row r="197" ht="15.75" customHeight="1">
      <c r="A197" s="23"/>
      <c r="B197" s="23"/>
      <c r="C197" s="23"/>
      <c r="E197" s="24"/>
      <c r="F197" s="24"/>
      <c r="G197" s="23"/>
      <c r="H197" s="23"/>
    </row>
    <row r="198" ht="15.75" customHeight="1">
      <c r="A198" s="23"/>
      <c r="B198" s="23"/>
      <c r="C198" s="23"/>
      <c r="E198" s="24"/>
      <c r="F198" s="24"/>
      <c r="G198" s="23"/>
      <c r="H198" s="23"/>
    </row>
    <row r="199" ht="15.75" customHeight="1">
      <c r="A199" s="23"/>
      <c r="B199" s="23"/>
      <c r="C199" s="23"/>
      <c r="E199" s="24"/>
      <c r="F199" s="24"/>
      <c r="G199" s="23"/>
      <c r="H199" s="23"/>
    </row>
    <row r="200" ht="15.75" customHeight="1">
      <c r="A200" s="23"/>
      <c r="B200" s="23"/>
      <c r="C200" s="23"/>
      <c r="E200" s="24"/>
      <c r="F200" s="24"/>
      <c r="G200" s="23"/>
      <c r="H200" s="23"/>
    </row>
    <row r="201" ht="15.75" customHeight="1">
      <c r="A201" s="23"/>
      <c r="B201" s="23"/>
      <c r="C201" s="23"/>
      <c r="E201" s="24"/>
      <c r="F201" s="24"/>
      <c r="G201" s="23"/>
      <c r="H201" s="23"/>
    </row>
    <row r="202" ht="15.75" customHeight="1">
      <c r="A202" s="23"/>
      <c r="B202" s="23"/>
      <c r="C202" s="23"/>
      <c r="E202" s="24"/>
      <c r="F202" s="24"/>
      <c r="G202" s="23"/>
      <c r="H202" s="23"/>
    </row>
    <row r="203" ht="15.75" customHeight="1">
      <c r="A203" s="23"/>
      <c r="B203" s="23"/>
      <c r="C203" s="23"/>
      <c r="E203" s="24"/>
      <c r="F203" s="24"/>
      <c r="G203" s="23"/>
      <c r="H203" s="23"/>
    </row>
    <row r="204" ht="15.75" customHeight="1">
      <c r="A204" s="23"/>
      <c r="B204" s="23"/>
      <c r="C204" s="23"/>
      <c r="E204" s="24"/>
      <c r="F204" s="24"/>
      <c r="G204" s="23"/>
      <c r="H204" s="23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204"/>
  <mergeCells count="3">
    <mergeCell ref="A1:I1"/>
    <mergeCell ref="A2:I2"/>
    <mergeCell ref="A3:I3"/>
  </mergeCells>
  <dataValidations>
    <dataValidation type="custom" allowBlank="1" showDropDown="1" showInputMessage="1" showErrorMessage="1" prompt="Стабильный ID формата asg-..." sqref="A5:A204">
      <formula1>OR(A5="",REGEXMATCH(A5,"^asg-[A-Za-z0-9._-]+$"))</formula1>
    </dataValidation>
    <dataValidation type="list" allowBlank="1" showInputMessage="1" showErrorMessage="1" prompt="Тип исполнителя" sqref="C5:C204">
      <formula1>'Система'!$S$33:$S$34</formula1>
    </dataValidation>
    <dataValidation type="list" allowBlank="1" showInputMessage="1" showErrorMessage="1" prompt="Статус назначения" sqref="G5:G204">
      <formula1>'Система'!$L$33:$L$36</formula1>
    </dataValidation>
    <dataValidation type="list" allowBlank="1" showInputMessage="1" showErrorMessage="1" prompt="Позиция" sqref="B5:B204">
      <formula1>'Система'!$AC$33:$AC$232</formula1>
    </dataValidation>
    <dataValidation type="list" allowBlank="1" showInputMessage="1" showErrorMessage="1" prompt="Источник" sqref="H5:H2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5.0"/>
    <col customWidth="1" min="4" max="5" width="20.0"/>
    <col customWidth="1" min="6" max="6" width="31.13"/>
    <col customWidth="1" min="7" max="7" width="15.0"/>
    <col customWidth="1" min="8" max="8" width="20.0"/>
    <col customWidth="1" min="9" max="10" width="31.13"/>
    <col customWidth="1" min="11" max="12" width="15.0"/>
    <col customWidth="1" min="13" max="13" width="18.75"/>
    <col customWidth="1" min="14" max="14" width="18.25"/>
    <col customWidth="1" min="15" max="16" width="15.0"/>
    <col customWidth="1" min="17" max="17" width="17.25"/>
    <col customWidth="1" min="18" max="19" width="15.0"/>
    <col customWidth="1" min="20" max="20" width="16.75"/>
    <col customWidth="1" min="21" max="21" width="12.25"/>
    <col customWidth="1" min="22" max="22" width="31.13"/>
    <col customWidth="1" min="23" max="26" width="8.63"/>
  </cols>
  <sheetData>
    <row r="1" ht="25.5" customHeight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22.5" customHeight="1">
      <c r="A2" s="4" t="s">
        <v>531</v>
      </c>
    </row>
    <row r="3" ht="19.5" customHeight="1">
      <c r="A3" s="7" t="s">
        <v>8</v>
      </c>
    </row>
    <row r="4" ht="39.0" customHeight="1">
      <c r="A4" s="10" t="s">
        <v>532</v>
      </c>
      <c r="B4" s="10" t="s">
        <v>434</v>
      </c>
      <c r="C4" s="13" t="s">
        <v>533</v>
      </c>
      <c r="D4" s="13" t="s">
        <v>534</v>
      </c>
      <c r="E4" s="10" t="s">
        <v>535</v>
      </c>
      <c r="F4" s="10" t="s">
        <v>536</v>
      </c>
      <c r="G4" s="13" t="s">
        <v>537</v>
      </c>
      <c r="H4" s="10" t="s">
        <v>538</v>
      </c>
      <c r="I4" s="10" t="s">
        <v>539</v>
      </c>
      <c r="J4" s="10" t="s">
        <v>540</v>
      </c>
      <c r="K4" s="13" t="s">
        <v>541</v>
      </c>
      <c r="L4" s="13" t="s">
        <v>542</v>
      </c>
      <c r="M4" s="10" t="s">
        <v>543</v>
      </c>
      <c r="N4" s="13" t="s">
        <v>544</v>
      </c>
      <c r="O4" s="10" t="s">
        <v>438</v>
      </c>
      <c r="P4" s="10" t="s">
        <v>545</v>
      </c>
      <c r="Q4" s="10" t="s">
        <v>546</v>
      </c>
      <c r="R4" s="10" t="s">
        <v>36</v>
      </c>
      <c r="S4" s="10" t="s">
        <v>38</v>
      </c>
      <c r="T4" s="10" t="s">
        <v>40</v>
      </c>
      <c r="U4" s="13" t="s">
        <v>44</v>
      </c>
      <c r="V4" s="13" t="s">
        <v>52</v>
      </c>
    </row>
    <row r="5">
      <c r="A5" s="23"/>
      <c r="B5" s="23"/>
      <c r="C5" s="23"/>
      <c r="G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</row>
    <row r="6">
      <c r="A6" s="23"/>
      <c r="B6" s="23"/>
      <c r="C6" s="23"/>
      <c r="G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4"/>
    </row>
    <row r="7">
      <c r="A7" s="23"/>
      <c r="B7" s="23"/>
      <c r="C7" s="23"/>
      <c r="G7" s="23"/>
      <c r="K7" s="23"/>
      <c r="L7" s="23"/>
      <c r="M7" s="23"/>
      <c r="N7" s="23"/>
      <c r="O7" s="23"/>
      <c r="P7" s="23"/>
      <c r="Q7" s="23"/>
      <c r="R7" s="23"/>
      <c r="S7" s="23"/>
      <c r="T7" s="24"/>
      <c r="U7" s="24"/>
    </row>
    <row r="8">
      <c r="A8" s="23"/>
      <c r="B8" s="23"/>
      <c r="C8" s="23"/>
      <c r="G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4"/>
    </row>
    <row r="9">
      <c r="A9" s="23"/>
      <c r="B9" s="23"/>
      <c r="C9" s="23"/>
      <c r="G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4"/>
    </row>
    <row r="10">
      <c r="A10" s="23"/>
      <c r="B10" s="23"/>
      <c r="C10" s="23"/>
      <c r="G10" s="23"/>
      <c r="K10" s="23"/>
      <c r="L10" s="23"/>
      <c r="M10" s="23"/>
      <c r="N10" s="23"/>
      <c r="O10" s="23"/>
      <c r="P10" s="23"/>
      <c r="Q10" s="23"/>
      <c r="R10" s="23"/>
      <c r="S10" s="23"/>
      <c r="T10" s="24"/>
      <c r="U10" s="24"/>
    </row>
    <row r="11">
      <c r="A11" s="23"/>
      <c r="B11" s="23"/>
      <c r="C11" s="23"/>
      <c r="G11" s="23"/>
      <c r="K11" s="23"/>
      <c r="L11" s="23"/>
      <c r="M11" s="23"/>
      <c r="N11" s="23"/>
      <c r="O11" s="23"/>
      <c r="P11" s="23"/>
      <c r="Q11" s="23"/>
      <c r="R11" s="23"/>
      <c r="S11" s="23"/>
      <c r="T11" s="24"/>
      <c r="U11" s="24"/>
    </row>
    <row r="12">
      <c r="A12" s="23"/>
      <c r="B12" s="23"/>
      <c r="C12" s="23"/>
      <c r="G12" s="23"/>
      <c r="K12" s="23"/>
      <c r="L12" s="23"/>
      <c r="M12" s="23"/>
      <c r="N12" s="23"/>
      <c r="O12" s="23"/>
      <c r="P12" s="23"/>
      <c r="Q12" s="23"/>
      <c r="R12" s="23"/>
      <c r="S12" s="23"/>
      <c r="T12" s="24"/>
      <c r="U12" s="24"/>
    </row>
    <row r="13">
      <c r="A13" s="23"/>
      <c r="B13" s="23"/>
      <c r="C13" s="23"/>
      <c r="G13" s="23"/>
      <c r="K13" s="23"/>
      <c r="L13" s="23"/>
      <c r="M13" s="23"/>
      <c r="N13" s="23"/>
      <c r="O13" s="23"/>
      <c r="P13" s="23"/>
      <c r="Q13" s="23"/>
      <c r="R13" s="23"/>
      <c r="S13" s="23"/>
      <c r="T13" s="24"/>
      <c r="U13" s="24"/>
    </row>
    <row r="14">
      <c r="A14" s="23"/>
      <c r="B14" s="23"/>
      <c r="C14" s="23"/>
      <c r="G14" s="23"/>
      <c r="K14" s="23"/>
      <c r="L14" s="23"/>
      <c r="M14" s="23"/>
      <c r="N14" s="23"/>
      <c r="O14" s="23"/>
      <c r="P14" s="23"/>
      <c r="Q14" s="23"/>
      <c r="R14" s="23"/>
      <c r="S14" s="23"/>
      <c r="T14" s="24"/>
      <c r="U14" s="24"/>
    </row>
    <row r="15">
      <c r="A15" s="23"/>
      <c r="B15" s="23"/>
      <c r="C15" s="23"/>
      <c r="G15" s="23"/>
      <c r="K15" s="23"/>
      <c r="L15" s="23"/>
      <c r="M15" s="23"/>
      <c r="N15" s="23"/>
      <c r="O15" s="23"/>
      <c r="P15" s="23"/>
      <c r="Q15" s="23"/>
      <c r="R15" s="23"/>
      <c r="S15" s="23"/>
      <c r="T15" s="24"/>
      <c r="U15" s="24"/>
    </row>
    <row r="16">
      <c r="A16" s="23"/>
      <c r="B16" s="23"/>
      <c r="C16" s="23"/>
      <c r="G16" s="23"/>
      <c r="K16" s="23"/>
      <c r="L16" s="23"/>
      <c r="M16" s="23"/>
      <c r="N16" s="23"/>
      <c r="O16" s="23"/>
      <c r="P16" s="23"/>
      <c r="Q16" s="23"/>
      <c r="R16" s="23"/>
      <c r="S16" s="23"/>
      <c r="T16" s="24"/>
      <c r="U16" s="24"/>
    </row>
    <row r="17">
      <c r="A17" s="23"/>
      <c r="B17" s="23"/>
      <c r="C17" s="23"/>
      <c r="G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24"/>
    </row>
    <row r="18">
      <c r="A18" s="23"/>
      <c r="B18" s="23"/>
      <c r="C18" s="23"/>
      <c r="G18" s="23"/>
      <c r="K18" s="23"/>
      <c r="L18" s="23"/>
      <c r="M18" s="23"/>
      <c r="N18" s="23"/>
      <c r="O18" s="23"/>
      <c r="P18" s="23"/>
      <c r="Q18" s="23"/>
      <c r="R18" s="23"/>
      <c r="S18" s="23"/>
      <c r="T18" s="24"/>
      <c r="U18" s="24"/>
    </row>
    <row r="19">
      <c r="A19" s="23"/>
      <c r="B19" s="23"/>
      <c r="C19" s="23"/>
      <c r="G19" s="23"/>
      <c r="K19" s="23"/>
      <c r="L19" s="23"/>
      <c r="M19" s="23"/>
      <c r="N19" s="23"/>
      <c r="O19" s="23"/>
      <c r="P19" s="23"/>
      <c r="Q19" s="23"/>
      <c r="R19" s="23"/>
      <c r="S19" s="23"/>
      <c r="T19" s="24"/>
      <c r="U19" s="24"/>
    </row>
    <row r="20">
      <c r="A20" s="23"/>
      <c r="B20" s="23"/>
      <c r="C20" s="23"/>
      <c r="G20" s="23"/>
      <c r="K20" s="23"/>
      <c r="L20" s="23"/>
      <c r="M20" s="23"/>
      <c r="N20" s="23"/>
      <c r="O20" s="23"/>
      <c r="P20" s="23"/>
      <c r="Q20" s="23"/>
      <c r="R20" s="23"/>
      <c r="S20" s="23"/>
      <c r="T20" s="24"/>
      <c r="U20" s="24"/>
    </row>
    <row r="21" ht="15.75" customHeight="1">
      <c r="A21" s="23"/>
      <c r="B21" s="23"/>
      <c r="C21" s="23"/>
      <c r="G21" s="23"/>
      <c r="K21" s="23"/>
      <c r="L21" s="23"/>
      <c r="M21" s="23"/>
      <c r="N21" s="23"/>
      <c r="O21" s="23"/>
      <c r="P21" s="23"/>
      <c r="Q21" s="23"/>
      <c r="R21" s="23"/>
      <c r="S21" s="23"/>
      <c r="T21" s="24"/>
      <c r="U21" s="24"/>
    </row>
    <row r="22" ht="15.75" customHeight="1">
      <c r="A22" s="23"/>
      <c r="B22" s="23"/>
      <c r="C22" s="23"/>
      <c r="G22" s="23"/>
      <c r="K22" s="23"/>
      <c r="L22" s="23"/>
      <c r="M22" s="23"/>
      <c r="N22" s="23"/>
      <c r="O22" s="23"/>
      <c r="P22" s="23"/>
      <c r="Q22" s="23"/>
      <c r="R22" s="23"/>
      <c r="S22" s="23"/>
      <c r="T22" s="24"/>
      <c r="U22" s="24"/>
    </row>
    <row r="23" ht="15.75" customHeight="1">
      <c r="A23" s="23"/>
      <c r="B23" s="23"/>
      <c r="C23" s="23"/>
      <c r="G23" s="23"/>
      <c r="K23" s="23"/>
      <c r="L23" s="23"/>
      <c r="M23" s="23"/>
      <c r="N23" s="23"/>
      <c r="O23" s="23"/>
      <c r="P23" s="23"/>
      <c r="Q23" s="23"/>
      <c r="R23" s="23"/>
      <c r="S23" s="23"/>
      <c r="T23" s="24"/>
      <c r="U23" s="24"/>
    </row>
    <row r="24" ht="15.75" customHeight="1">
      <c r="A24" s="23"/>
      <c r="B24" s="23"/>
      <c r="C24" s="23"/>
      <c r="G24" s="23"/>
      <c r="K24" s="23"/>
      <c r="L24" s="23"/>
      <c r="M24" s="23"/>
      <c r="N24" s="23"/>
      <c r="O24" s="23"/>
      <c r="P24" s="23"/>
      <c r="Q24" s="23"/>
      <c r="R24" s="23"/>
      <c r="S24" s="23"/>
      <c r="T24" s="24"/>
      <c r="U24" s="24"/>
    </row>
    <row r="25" ht="15.75" customHeight="1">
      <c r="A25" s="23"/>
      <c r="B25" s="23"/>
      <c r="C25" s="23"/>
      <c r="G25" s="23"/>
      <c r="K25" s="23"/>
      <c r="L25" s="23"/>
      <c r="M25" s="23"/>
      <c r="N25" s="23"/>
      <c r="O25" s="23"/>
      <c r="P25" s="23"/>
      <c r="Q25" s="23"/>
      <c r="R25" s="23"/>
      <c r="S25" s="23"/>
      <c r="T25" s="24"/>
      <c r="U25" s="24"/>
    </row>
    <row r="26" ht="15.75" customHeight="1">
      <c r="A26" s="23"/>
      <c r="B26" s="23"/>
      <c r="C26" s="23"/>
      <c r="G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</row>
    <row r="27" ht="15.75" customHeight="1">
      <c r="A27" s="23"/>
      <c r="B27" s="23"/>
      <c r="C27" s="23"/>
      <c r="G27" s="23"/>
      <c r="K27" s="23"/>
      <c r="L27" s="23"/>
      <c r="M27" s="23"/>
      <c r="N27" s="23"/>
      <c r="O27" s="23"/>
      <c r="P27" s="23"/>
      <c r="Q27" s="23"/>
      <c r="R27" s="23"/>
      <c r="S27" s="23"/>
      <c r="T27" s="24"/>
      <c r="U27" s="24"/>
    </row>
    <row r="28" ht="15.75" customHeight="1">
      <c r="A28" s="23"/>
      <c r="B28" s="23"/>
      <c r="C28" s="23"/>
      <c r="G28" s="23"/>
      <c r="K28" s="23"/>
      <c r="L28" s="23"/>
      <c r="M28" s="23"/>
      <c r="N28" s="23"/>
      <c r="O28" s="23"/>
      <c r="P28" s="23"/>
      <c r="Q28" s="23"/>
      <c r="R28" s="23"/>
      <c r="S28" s="23"/>
      <c r="T28" s="24"/>
      <c r="U28" s="24"/>
    </row>
    <row r="29" ht="15.75" customHeight="1">
      <c r="A29" s="23"/>
      <c r="B29" s="23"/>
      <c r="C29" s="23"/>
      <c r="G29" s="23"/>
      <c r="K29" s="23"/>
      <c r="L29" s="23"/>
      <c r="M29" s="23"/>
      <c r="N29" s="23"/>
      <c r="O29" s="23"/>
      <c r="P29" s="23"/>
      <c r="Q29" s="23"/>
      <c r="R29" s="23"/>
      <c r="S29" s="23"/>
      <c r="T29" s="24"/>
      <c r="U29" s="24"/>
    </row>
    <row r="30" ht="15.75" customHeight="1">
      <c r="A30" s="23"/>
      <c r="B30" s="23"/>
      <c r="C30" s="23"/>
      <c r="G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</row>
    <row r="31" ht="15.75" customHeight="1">
      <c r="A31" s="23"/>
      <c r="B31" s="23"/>
      <c r="C31" s="23"/>
      <c r="G31" s="23"/>
      <c r="K31" s="23"/>
      <c r="L31" s="23"/>
      <c r="M31" s="23"/>
      <c r="N31" s="23"/>
      <c r="O31" s="23"/>
      <c r="P31" s="23"/>
      <c r="Q31" s="23"/>
      <c r="R31" s="23"/>
      <c r="S31" s="23"/>
      <c r="T31" s="24"/>
      <c r="U31" s="24"/>
    </row>
    <row r="32" ht="15.75" customHeight="1">
      <c r="A32" s="23"/>
      <c r="B32" s="23"/>
      <c r="C32" s="23"/>
      <c r="G32" s="23"/>
      <c r="K32" s="23"/>
      <c r="L32" s="23"/>
      <c r="M32" s="23"/>
      <c r="N32" s="23"/>
      <c r="O32" s="23"/>
      <c r="P32" s="23"/>
      <c r="Q32" s="23"/>
      <c r="R32" s="23"/>
      <c r="S32" s="23"/>
      <c r="T32" s="24"/>
      <c r="U32" s="24"/>
    </row>
    <row r="33" ht="15.75" customHeight="1">
      <c r="A33" s="23"/>
      <c r="B33" s="23"/>
      <c r="C33" s="23"/>
      <c r="G33" s="23"/>
      <c r="K33" s="23"/>
      <c r="L33" s="23"/>
      <c r="M33" s="23"/>
      <c r="N33" s="23"/>
      <c r="O33" s="23"/>
      <c r="P33" s="23"/>
      <c r="Q33" s="23"/>
      <c r="R33" s="23"/>
      <c r="S33" s="23"/>
      <c r="T33" s="24"/>
      <c r="U33" s="24"/>
    </row>
    <row r="34" ht="15.75" customHeight="1">
      <c r="A34" s="23"/>
      <c r="B34" s="23"/>
      <c r="C34" s="23"/>
      <c r="G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</row>
    <row r="35" ht="15.75" customHeight="1">
      <c r="A35" s="23"/>
      <c r="B35" s="23"/>
      <c r="C35" s="23"/>
      <c r="G35" s="23"/>
      <c r="K35" s="23"/>
      <c r="L35" s="23"/>
      <c r="M35" s="23"/>
      <c r="N35" s="23"/>
      <c r="O35" s="23"/>
      <c r="P35" s="23"/>
      <c r="Q35" s="23"/>
      <c r="R35" s="23"/>
      <c r="S35" s="23"/>
      <c r="T35" s="24"/>
      <c r="U35" s="24"/>
    </row>
    <row r="36" ht="15.75" customHeight="1">
      <c r="A36" s="23"/>
      <c r="B36" s="23"/>
      <c r="C36" s="23"/>
      <c r="G36" s="23"/>
      <c r="K36" s="23"/>
      <c r="L36" s="23"/>
      <c r="M36" s="23"/>
      <c r="N36" s="23"/>
      <c r="O36" s="23"/>
      <c r="P36" s="23"/>
      <c r="Q36" s="23"/>
      <c r="R36" s="23"/>
      <c r="S36" s="23"/>
      <c r="T36" s="24"/>
      <c r="U36" s="24"/>
    </row>
    <row r="37" ht="15.75" customHeight="1">
      <c r="A37" s="23"/>
      <c r="B37" s="23"/>
      <c r="C37" s="23"/>
      <c r="G37" s="23"/>
      <c r="K37" s="23"/>
      <c r="L37" s="23"/>
      <c r="M37" s="23"/>
      <c r="N37" s="23"/>
      <c r="O37" s="23"/>
      <c r="P37" s="23"/>
      <c r="Q37" s="23"/>
      <c r="R37" s="23"/>
      <c r="S37" s="23"/>
      <c r="T37" s="24"/>
      <c r="U37" s="24"/>
    </row>
    <row r="38" ht="15.75" customHeight="1">
      <c r="A38" s="23"/>
      <c r="B38" s="23"/>
      <c r="C38" s="23"/>
      <c r="G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</row>
    <row r="39" ht="15.75" customHeight="1">
      <c r="A39" s="23"/>
      <c r="B39" s="23"/>
      <c r="C39" s="23"/>
      <c r="G39" s="23"/>
      <c r="K39" s="23"/>
      <c r="L39" s="23"/>
      <c r="M39" s="23"/>
      <c r="N39" s="23"/>
      <c r="O39" s="23"/>
      <c r="P39" s="23"/>
      <c r="Q39" s="23"/>
      <c r="R39" s="23"/>
      <c r="S39" s="23"/>
      <c r="T39" s="24"/>
      <c r="U39" s="24"/>
    </row>
    <row r="40" ht="15.75" customHeight="1">
      <c r="A40" s="23"/>
      <c r="B40" s="23"/>
      <c r="C40" s="23"/>
      <c r="G40" s="23"/>
      <c r="K40" s="23"/>
      <c r="L40" s="23"/>
      <c r="M40" s="23"/>
      <c r="N40" s="23"/>
      <c r="O40" s="23"/>
      <c r="P40" s="23"/>
      <c r="Q40" s="23"/>
      <c r="R40" s="23"/>
      <c r="S40" s="23"/>
      <c r="T40" s="24"/>
      <c r="U40" s="24"/>
    </row>
    <row r="41" ht="15.75" customHeight="1">
      <c r="A41" s="23"/>
      <c r="B41" s="23"/>
      <c r="C41" s="23"/>
      <c r="G41" s="23"/>
      <c r="K41" s="23"/>
      <c r="L41" s="23"/>
      <c r="M41" s="23"/>
      <c r="N41" s="23"/>
      <c r="O41" s="23"/>
      <c r="P41" s="23"/>
      <c r="Q41" s="23"/>
      <c r="R41" s="23"/>
      <c r="S41" s="23"/>
      <c r="T41" s="24"/>
      <c r="U41" s="24"/>
    </row>
    <row r="42" ht="15.75" customHeight="1">
      <c r="A42" s="23"/>
      <c r="B42" s="23"/>
      <c r="C42" s="23"/>
      <c r="G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</row>
    <row r="43" ht="15.75" customHeight="1">
      <c r="A43" s="23"/>
      <c r="B43" s="23"/>
      <c r="C43" s="23"/>
      <c r="G43" s="23"/>
      <c r="K43" s="23"/>
      <c r="L43" s="23"/>
      <c r="M43" s="23"/>
      <c r="N43" s="23"/>
      <c r="O43" s="23"/>
      <c r="P43" s="23"/>
      <c r="Q43" s="23"/>
      <c r="R43" s="23"/>
      <c r="S43" s="23"/>
      <c r="T43" s="24"/>
      <c r="U43" s="24"/>
    </row>
    <row r="44" ht="15.75" customHeight="1">
      <c r="A44" s="23"/>
      <c r="B44" s="23"/>
      <c r="C44" s="23"/>
      <c r="G44" s="23"/>
      <c r="K44" s="23"/>
      <c r="L44" s="23"/>
      <c r="M44" s="23"/>
      <c r="N44" s="23"/>
      <c r="O44" s="23"/>
      <c r="P44" s="23"/>
      <c r="Q44" s="23"/>
      <c r="R44" s="23"/>
      <c r="S44" s="23"/>
      <c r="T44" s="24"/>
      <c r="U44" s="24"/>
    </row>
    <row r="45" ht="15.75" customHeight="1">
      <c r="A45" s="23"/>
      <c r="B45" s="23"/>
      <c r="C45" s="23"/>
      <c r="G45" s="23"/>
      <c r="K45" s="23"/>
      <c r="L45" s="23"/>
      <c r="M45" s="23"/>
      <c r="N45" s="23"/>
      <c r="O45" s="23"/>
      <c r="P45" s="23"/>
      <c r="Q45" s="23"/>
      <c r="R45" s="23"/>
      <c r="S45" s="23"/>
      <c r="T45" s="24"/>
      <c r="U45" s="24"/>
    </row>
    <row r="46" ht="15.75" customHeight="1">
      <c r="A46" s="23"/>
      <c r="B46" s="23"/>
      <c r="C46" s="23"/>
      <c r="G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</row>
    <row r="47" ht="15.75" customHeight="1">
      <c r="A47" s="23"/>
      <c r="B47" s="23"/>
      <c r="C47" s="23"/>
      <c r="G47" s="23"/>
      <c r="K47" s="23"/>
      <c r="L47" s="23"/>
      <c r="M47" s="23"/>
      <c r="N47" s="23"/>
      <c r="O47" s="23"/>
      <c r="P47" s="23"/>
      <c r="Q47" s="23"/>
      <c r="R47" s="23"/>
      <c r="S47" s="23"/>
      <c r="T47" s="24"/>
      <c r="U47" s="24"/>
    </row>
    <row r="48" ht="15.75" customHeight="1">
      <c r="A48" s="23"/>
      <c r="B48" s="23"/>
      <c r="C48" s="23"/>
      <c r="G48" s="23"/>
      <c r="K48" s="23"/>
      <c r="L48" s="23"/>
      <c r="M48" s="23"/>
      <c r="N48" s="23"/>
      <c r="O48" s="23"/>
      <c r="P48" s="23"/>
      <c r="Q48" s="23"/>
      <c r="R48" s="23"/>
      <c r="S48" s="23"/>
      <c r="T48" s="24"/>
      <c r="U48" s="24"/>
    </row>
    <row r="49" ht="15.75" customHeight="1">
      <c r="A49" s="23"/>
      <c r="B49" s="23"/>
      <c r="C49" s="23"/>
      <c r="G49" s="23"/>
      <c r="K49" s="23"/>
      <c r="L49" s="23"/>
      <c r="M49" s="23"/>
      <c r="N49" s="23"/>
      <c r="O49" s="23"/>
      <c r="P49" s="23"/>
      <c r="Q49" s="23"/>
      <c r="R49" s="23"/>
      <c r="S49" s="23"/>
      <c r="T49" s="24"/>
      <c r="U49" s="24"/>
    </row>
    <row r="50" ht="15.75" customHeight="1">
      <c r="A50" s="23"/>
      <c r="B50" s="23"/>
      <c r="C50" s="23"/>
      <c r="G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4"/>
    </row>
    <row r="51" ht="15.75" customHeight="1">
      <c r="A51" s="23"/>
      <c r="B51" s="23"/>
      <c r="C51" s="23"/>
      <c r="G51" s="23"/>
      <c r="K51" s="23"/>
      <c r="L51" s="23"/>
      <c r="M51" s="23"/>
      <c r="N51" s="23"/>
      <c r="O51" s="23"/>
      <c r="P51" s="23"/>
      <c r="Q51" s="23"/>
      <c r="R51" s="23"/>
      <c r="S51" s="23"/>
      <c r="T51" s="24"/>
      <c r="U51" s="24"/>
    </row>
    <row r="52" ht="15.75" customHeight="1">
      <c r="A52" s="23"/>
      <c r="B52" s="23"/>
      <c r="C52" s="23"/>
      <c r="G52" s="23"/>
      <c r="K52" s="23"/>
      <c r="L52" s="23"/>
      <c r="M52" s="23"/>
      <c r="N52" s="23"/>
      <c r="O52" s="23"/>
      <c r="P52" s="23"/>
      <c r="Q52" s="23"/>
      <c r="R52" s="23"/>
      <c r="S52" s="23"/>
      <c r="T52" s="24"/>
      <c r="U52" s="24"/>
    </row>
    <row r="53" ht="15.75" customHeight="1">
      <c r="A53" s="23"/>
      <c r="B53" s="23"/>
      <c r="C53" s="23"/>
      <c r="G53" s="23"/>
      <c r="K53" s="23"/>
      <c r="L53" s="23"/>
      <c r="M53" s="23"/>
      <c r="N53" s="23"/>
      <c r="O53" s="23"/>
      <c r="P53" s="23"/>
      <c r="Q53" s="23"/>
      <c r="R53" s="23"/>
      <c r="S53" s="23"/>
      <c r="T53" s="24"/>
      <c r="U53" s="24"/>
    </row>
    <row r="54" ht="15.75" customHeight="1">
      <c r="A54" s="23"/>
      <c r="B54" s="23"/>
      <c r="C54" s="23"/>
      <c r="G54" s="23"/>
      <c r="K54" s="23"/>
      <c r="L54" s="23"/>
      <c r="M54" s="23"/>
      <c r="N54" s="23"/>
      <c r="O54" s="23"/>
      <c r="P54" s="23"/>
      <c r="Q54" s="23"/>
      <c r="R54" s="23"/>
      <c r="S54" s="23"/>
      <c r="T54" s="24"/>
      <c r="U54" s="24"/>
    </row>
    <row r="55" ht="15.75" customHeight="1">
      <c r="A55" s="23"/>
      <c r="B55" s="23"/>
      <c r="C55" s="23"/>
      <c r="G55" s="23"/>
      <c r="K55" s="23"/>
      <c r="L55" s="23"/>
      <c r="M55" s="23"/>
      <c r="N55" s="23"/>
      <c r="O55" s="23"/>
      <c r="P55" s="23"/>
      <c r="Q55" s="23"/>
      <c r="R55" s="23"/>
      <c r="S55" s="23"/>
      <c r="T55" s="24"/>
      <c r="U55" s="24"/>
    </row>
    <row r="56" ht="15.75" customHeight="1">
      <c r="A56" s="23"/>
      <c r="B56" s="23"/>
      <c r="C56" s="23"/>
      <c r="G56" s="23"/>
      <c r="K56" s="23"/>
      <c r="L56" s="23"/>
      <c r="M56" s="23"/>
      <c r="N56" s="23"/>
      <c r="O56" s="23"/>
      <c r="P56" s="23"/>
      <c r="Q56" s="23"/>
      <c r="R56" s="23"/>
      <c r="S56" s="23"/>
      <c r="T56" s="24"/>
      <c r="U56" s="24"/>
    </row>
    <row r="57" ht="15.75" customHeight="1">
      <c r="A57" s="23"/>
      <c r="B57" s="23"/>
      <c r="C57" s="23"/>
      <c r="G57" s="23"/>
      <c r="K57" s="23"/>
      <c r="L57" s="23"/>
      <c r="M57" s="23"/>
      <c r="N57" s="23"/>
      <c r="O57" s="23"/>
      <c r="P57" s="23"/>
      <c r="Q57" s="23"/>
      <c r="R57" s="23"/>
      <c r="S57" s="23"/>
      <c r="T57" s="24"/>
      <c r="U57" s="24"/>
    </row>
    <row r="58" ht="15.75" customHeight="1">
      <c r="A58" s="23"/>
      <c r="B58" s="23"/>
      <c r="C58" s="23"/>
      <c r="G58" s="23"/>
      <c r="K58" s="23"/>
      <c r="L58" s="23"/>
      <c r="M58" s="23"/>
      <c r="N58" s="23"/>
      <c r="O58" s="23"/>
      <c r="P58" s="23"/>
      <c r="Q58" s="23"/>
      <c r="R58" s="23"/>
      <c r="S58" s="23"/>
      <c r="T58" s="24"/>
      <c r="U58" s="24"/>
    </row>
    <row r="59" ht="15.75" customHeight="1">
      <c r="A59" s="23"/>
      <c r="B59" s="23"/>
      <c r="C59" s="23"/>
      <c r="G59" s="23"/>
      <c r="K59" s="23"/>
      <c r="L59" s="23"/>
      <c r="M59" s="23"/>
      <c r="N59" s="23"/>
      <c r="O59" s="23"/>
      <c r="P59" s="23"/>
      <c r="Q59" s="23"/>
      <c r="R59" s="23"/>
      <c r="S59" s="23"/>
      <c r="T59" s="24"/>
      <c r="U59" s="24"/>
    </row>
    <row r="60" ht="15.75" customHeight="1">
      <c r="A60" s="23"/>
      <c r="B60" s="23"/>
      <c r="C60" s="23"/>
      <c r="G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4"/>
    </row>
    <row r="61" ht="15.75" customHeight="1">
      <c r="A61" s="23"/>
      <c r="B61" s="23"/>
      <c r="C61" s="23"/>
      <c r="G61" s="23"/>
      <c r="K61" s="23"/>
      <c r="L61" s="23"/>
      <c r="M61" s="23"/>
      <c r="N61" s="23"/>
      <c r="O61" s="23"/>
      <c r="P61" s="23"/>
      <c r="Q61" s="23"/>
      <c r="R61" s="23"/>
      <c r="S61" s="23"/>
      <c r="T61" s="24"/>
      <c r="U61" s="24"/>
    </row>
    <row r="62" ht="15.75" customHeight="1">
      <c r="A62" s="23"/>
      <c r="B62" s="23"/>
      <c r="C62" s="23"/>
      <c r="G62" s="23"/>
      <c r="K62" s="23"/>
      <c r="L62" s="23"/>
      <c r="M62" s="23"/>
      <c r="N62" s="23"/>
      <c r="O62" s="23"/>
      <c r="P62" s="23"/>
      <c r="Q62" s="23"/>
      <c r="R62" s="23"/>
      <c r="S62" s="23"/>
      <c r="T62" s="24"/>
      <c r="U62" s="24"/>
    </row>
    <row r="63" ht="15.75" customHeight="1">
      <c r="A63" s="23"/>
      <c r="B63" s="23"/>
      <c r="C63" s="23"/>
      <c r="G63" s="23"/>
      <c r="K63" s="23"/>
      <c r="L63" s="23"/>
      <c r="M63" s="23"/>
      <c r="N63" s="23"/>
      <c r="O63" s="23"/>
      <c r="P63" s="23"/>
      <c r="Q63" s="23"/>
      <c r="R63" s="23"/>
      <c r="S63" s="23"/>
      <c r="T63" s="24"/>
      <c r="U63" s="24"/>
    </row>
    <row r="64" ht="15.75" customHeight="1">
      <c r="A64" s="23"/>
      <c r="B64" s="23"/>
      <c r="C64" s="23"/>
      <c r="G64" s="23"/>
      <c r="K64" s="23"/>
      <c r="L64" s="23"/>
      <c r="M64" s="23"/>
      <c r="N64" s="23"/>
      <c r="O64" s="23"/>
      <c r="P64" s="23"/>
      <c r="Q64" s="23"/>
      <c r="R64" s="23"/>
      <c r="S64" s="23"/>
      <c r="T64" s="24"/>
      <c r="U64" s="24"/>
    </row>
    <row r="65" ht="15.75" customHeight="1">
      <c r="A65" s="23"/>
      <c r="B65" s="23"/>
      <c r="C65" s="23"/>
      <c r="G65" s="23"/>
      <c r="K65" s="23"/>
      <c r="L65" s="23"/>
      <c r="M65" s="23"/>
      <c r="N65" s="23"/>
      <c r="O65" s="23"/>
      <c r="P65" s="23"/>
      <c r="Q65" s="23"/>
      <c r="R65" s="23"/>
      <c r="S65" s="23"/>
      <c r="T65" s="24"/>
      <c r="U65" s="24"/>
    </row>
    <row r="66" ht="15.75" customHeight="1">
      <c r="A66" s="23"/>
      <c r="B66" s="23"/>
      <c r="C66" s="23"/>
      <c r="G66" s="23"/>
      <c r="K66" s="23"/>
      <c r="L66" s="23"/>
      <c r="M66" s="23"/>
      <c r="N66" s="23"/>
      <c r="O66" s="23"/>
      <c r="P66" s="23"/>
      <c r="Q66" s="23"/>
      <c r="R66" s="23"/>
      <c r="S66" s="23"/>
      <c r="T66" s="24"/>
      <c r="U66" s="24"/>
    </row>
    <row r="67" ht="15.75" customHeight="1">
      <c r="A67" s="23"/>
      <c r="B67" s="23"/>
      <c r="C67" s="23"/>
      <c r="G67" s="23"/>
      <c r="K67" s="23"/>
      <c r="L67" s="23"/>
      <c r="M67" s="23"/>
      <c r="N67" s="23"/>
      <c r="O67" s="23"/>
      <c r="P67" s="23"/>
      <c r="Q67" s="23"/>
      <c r="R67" s="23"/>
      <c r="S67" s="23"/>
      <c r="T67" s="24"/>
      <c r="U67" s="24"/>
    </row>
    <row r="68" ht="15.75" customHeight="1">
      <c r="A68" s="23"/>
      <c r="B68" s="23"/>
      <c r="C68" s="23"/>
      <c r="G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</row>
    <row r="69" ht="15.75" customHeight="1">
      <c r="A69" s="23"/>
      <c r="B69" s="23"/>
      <c r="C69" s="23"/>
      <c r="G69" s="23"/>
      <c r="K69" s="23"/>
      <c r="L69" s="23"/>
      <c r="M69" s="23"/>
      <c r="N69" s="23"/>
      <c r="O69" s="23"/>
      <c r="P69" s="23"/>
      <c r="Q69" s="23"/>
      <c r="R69" s="23"/>
      <c r="S69" s="23"/>
      <c r="T69" s="24"/>
      <c r="U69" s="24"/>
    </row>
    <row r="70" ht="15.75" customHeight="1">
      <c r="A70" s="23"/>
      <c r="B70" s="23"/>
      <c r="C70" s="23"/>
      <c r="G70" s="23"/>
      <c r="K70" s="23"/>
      <c r="L70" s="23"/>
      <c r="M70" s="23"/>
      <c r="N70" s="23"/>
      <c r="O70" s="23"/>
      <c r="P70" s="23"/>
      <c r="Q70" s="23"/>
      <c r="R70" s="23"/>
      <c r="S70" s="23"/>
      <c r="T70" s="24"/>
      <c r="U70" s="24"/>
    </row>
    <row r="71" ht="15.75" customHeight="1">
      <c r="A71" s="23"/>
      <c r="B71" s="23"/>
      <c r="C71" s="23"/>
      <c r="G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</row>
    <row r="72" ht="15.75" customHeight="1">
      <c r="A72" s="23"/>
      <c r="B72" s="23"/>
      <c r="C72" s="23"/>
      <c r="G72" s="23"/>
      <c r="K72" s="23"/>
      <c r="L72" s="23"/>
      <c r="M72" s="23"/>
      <c r="N72" s="23"/>
      <c r="O72" s="23"/>
      <c r="P72" s="23"/>
      <c r="Q72" s="23"/>
      <c r="R72" s="23"/>
      <c r="S72" s="23"/>
      <c r="T72" s="24"/>
      <c r="U72" s="24"/>
    </row>
    <row r="73" ht="15.75" customHeight="1">
      <c r="A73" s="23"/>
      <c r="B73" s="23"/>
      <c r="C73" s="23"/>
      <c r="G73" s="23"/>
      <c r="K73" s="23"/>
      <c r="L73" s="23"/>
      <c r="M73" s="23"/>
      <c r="N73" s="23"/>
      <c r="O73" s="23"/>
      <c r="P73" s="23"/>
      <c r="Q73" s="23"/>
      <c r="R73" s="23"/>
      <c r="S73" s="23"/>
      <c r="T73" s="24"/>
      <c r="U73" s="24"/>
    </row>
    <row r="74" ht="15.75" customHeight="1">
      <c r="A74" s="23"/>
      <c r="B74" s="23"/>
      <c r="C74" s="23"/>
      <c r="G74" s="23"/>
      <c r="K74" s="23"/>
      <c r="L74" s="23"/>
      <c r="M74" s="23"/>
      <c r="N74" s="23"/>
      <c r="O74" s="23"/>
      <c r="P74" s="23"/>
      <c r="Q74" s="23"/>
      <c r="R74" s="23"/>
      <c r="S74" s="23"/>
      <c r="T74" s="24"/>
      <c r="U74" s="24"/>
    </row>
    <row r="75" ht="15.75" customHeight="1">
      <c r="A75" s="23"/>
      <c r="B75" s="23"/>
      <c r="C75" s="23"/>
      <c r="G75" s="23"/>
      <c r="K75" s="23"/>
      <c r="L75" s="23"/>
      <c r="M75" s="23"/>
      <c r="N75" s="23"/>
      <c r="O75" s="23"/>
      <c r="P75" s="23"/>
      <c r="Q75" s="23"/>
      <c r="R75" s="23"/>
      <c r="S75" s="23"/>
      <c r="T75" s="24"/>
      <c r="U75" s="24"/>
    </row>
    <row r="76" ht="15.75" customHeight="1">
      <c r="A76" s="23"/>
      <c r="B76" s="23"/>
      <c r="C76" s="23"/>
      <c r="G76" s="23"/>
      <c r="K76" s="23"/>
      <c r="L76" s="23"/>
      <c r="M76" s="23"/>
      <c r="N76" s="23"/>
      <c r="O76" s="23"/>
      <c r="P76" s="23"/>
      <c r="Q76" s="23"/>
      <c r="R76" s="23"/>
      <c r="S76" s="23"/>
      <c r="T76" s="24"/>
      <c r="U76" s="24"/>
    </row>
    <row r="77" ht="15.75" customHeight="1">
      <c r="A77" s="23"/>
      <c r="B77" s="23"/>
      <c r="C77" s="23"/>
      <c r="G77" s="23"/>
      <c r="K77" s="23"/>
      <c r="L77" s="23"/>
      <c r="M77" s="23"/>
      <c r="N77" s="23"/>
      <c r="O77" s="23"/>
      <c r="P77" s="23"/>
      <c r="Q77" s="23"/>
      <c r="R77" s="23"/>
      <c r="S77" s="23"/>
      <c r="T77" s="24"/>
      <c r="U77" s="24"/>
    </row>
    <row r="78" ht="15.75" customHeight="1">
      <c r="A78" s="23"/>
      <c r="B78" s="23"/>
      <c r="C78" s="23"/>
      <c r="G78" s="23"/>
      <c r="K78" s="23"/>
      <c r="L78" s="23"/>
      <c r="M78" s="23"/>
      <c r="N78" s="23"/>
      <c r="O78" s="23"/>
      <c r="P78" s="23"/>
      <c r="Q78" s="23"/>
      <c r="R78" s="23"/>
      <c r="S78" s="23"/>
      <c r="T78" s="24"/>
      <c r="U78" s="24"/>
    </row>
    <row r="79" ht="15.75" customHeight="1">
      <c r="A79" s="23"/>
      <c r="B79" s="23"/>
      <c r="C79" s="23"/>
      <c r="G79" s="23"/>
      <c r="K79" s="23"/>
      <c r="L79" s="23"/>
      <c r="M79" s="23"/>
      <c r="N79" s="23"/>
      <c r="O79" s="23"/>
      <c r="P79" s="23"/>
      <c r="Q79" s="23"/>
      <c r="R79" s="23"/>
      <c r="S79" s="23"/>
      <c r="T79" s="24"/>
      <c r="U79" s="24"/>
    </row>
    <row r="80" ht="15.75" customHeight="1">
      <c r="A80" s="23"/>
      <c r="B80" s="23"/>
      <c r="C80" s="23"/>
      <c r="G80" s="23"/>
      <c r="K80" s="23"/>
      <c r="L80" s="23"/>
      <c r="M80" s="23"/>
      <c r="N80" s="23"/>
      <c r="O80" s="23"/>
      <c r="P80" s="23"/>
      <c r="Q80" s="23"/>
      <c r="R80" s="23"/>
      <c r="S80" s="23"/>
      <c r="T80" s="24"/>
      <c r="U80" s="24"/>
    </row>
    <row r="81" ht="15.75" customHeight="1">
      <c r="A81" s="23"/>
      <c r="B81" s="23"/>
      <c r="C81" s="23"/>
      <c r="G81" s="23"/>
      <c r="K81" s="23"/>
      <c r="L81" s="23"/>
      <c r="M81" s="23"/>
      <c r="N81" s="23"/>
      <c r="O81" s="23"/>
      <c r="P81" s="23"/>
      <c r="Q81" s="23"/>
      <c r="R81" s="23"/>
      <c r="S81" s="23"/>
      <c r="T81" s="24"/>
      <c r="U81" s="24"/>
    </row>
    <row r="82" ht="15.75" customHeight="1">
      <c r="A82" s="23"/>
      <c r="B82" s="23"/>
      <c r="C82" s="23"/>
      <c r="G82" s="23"/>
      <c r="K82" s="23"/>
      <c r="L82" s="23"/>
      <c r="M82" s="23"/>
      <c r="N82" s="23"/>
      <c r="O82" s="23"/>
      <c r="P82" s="23"/>
      <c r="Q82" s="23"/>
      <c r="R82" s="23"/>
      <c r="S82" s="23"/>
      <c r="T82" s="24"/>
      <c r="U82" s="24"/>
    </row>
    <row r="83" ht="15.75" customHeight="1">
      <c r="A83" s="23"/>
      <c r="B83" s="23"/>
      <c r="C83" s="23"/>
      <c r="G83" s="23"/>
      <c r="K83" s="23"/>
      <c r="L83" s="23"/>
      <c r="M83" s="23"/>
      <c r="N83" s="23"/>
      <c r="O83" s="23"/>
      <c r="P83" s="23"/>
      <c r="Q83" s="23"/>
      <c r="R83" s="23"/>
      <c r="S83" s="23"/>
      <c r="T83" s="24"/>
      <c r="U83" s="24"/>
    </row>
    <row r="84" ht="15.75" customHeight="1">
      <c r="A84" s="23"/>
      <c r="B84" s="23"/>
      <c r="C84" s="23"/>
      <c r="G84" s="23"/>
      <c r="K84" s="23"/>
      <c r="L84" s="23"/>
      <c r="M84" s="23"/>
      <c r="N84" s="23"/>
      <c r="O84" s="23"/>
      <c r="P84" s="23"/>
      <c r="Q84" s="23"/>
      <c r="R84" s="23"/>
      <c r="S84" s="23"/>
      <c r="T84" s="24"/>
      <c r="U84" s="24"/>
    </row>
    <row r="85" ht="15.75" customHeight="1">
      <c r="A85" s="23"/>
      <c r="B85" s="23"/>
      <c r="C85" s="23"/>
      <c r="G85" s="23"/>
      <c r="K85" s="23"/>
      <c r="L85" s="23"/>
      <c r="M85" s="23"/>
      <c r="N85" s="23"/>
      <c r="O85" s="23"/>
      <c r="P85" s="23"/>
      <c r="Q85" s="23"/>
      <c r="R85" s="23"/>
      <c r="S85" s="23"/>
      <c r="T85" s="24"/>
      <c r="U85" s="24"/>
    </row>
    <row r="86" ht="15.75" customHeight="1">
      <c r="A86" s="23"/>
      <c r="B86" s="23"/>
      <c r="C86" s="23"/>
      <c r="G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24"/>
    </row>
    <row r="87" ht="15.75" customHeight="1">
      <c r="A87" s="23"/>
      <c r="B87" s="23"/>
      <c r="C87" s="23"/>
      <c r="G87" s="23"/>
      <c r="K87" s="23"/>
      <c r="L87" s="23"/>
      <c r="M87" s="23"/>
      <c r="N87" s="23"/>
      <c r="O87" s="23"/>
      <c r="P87" s="23"/>
      <c r="Q87" s="23"/>
      <c r="R87" s="23"/>
      <c r="S87" s="23"/>
      <c r="T87" s="24"/>
      <c r="U87" s="24"/>
    </row>
    <row r="88" ht="15.75" customHeight="1">
      <c r="A88" s="23"/>
      <c r="B88" s="23"/>
      <c r="C88" s="23"/>
      <c r="G88" s="23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4"/>
    </row>
    <row r="89" ht="15.75" customHeight="1">
      <c r="A89" s="23"/>
      <c r="B89" s="23"/>
      <c r="C89" s="23"/>
      <c r="G89" s="23"/>
      <c r="K89" s="23"/>
      <c r="L89" s="23"/>
      <c r="M89" s="23"/>
      <c r="N89" s="23"/>
      <c r="O89" s="23"/>
      <c r="P89" s="23"/>
      <c r="Q89" s="23"/>
      <c r="R89" s="23"/>
      <c r="S89" s="23"/>
      <c r="T89" s="24"/>
      <c r="U89" s="24"/>
    </row>
    <row r="90" ht="15.75" customHeight="1">
      <c r="A90" s="23"/>
      <c r="B90" s="23"/>
      <c r="C90" s="23"/>
      <c r="G90" s="23"/>
      <c r="K90" s="23"/>
      <c r="L90" s="23"/>
      <c r="M90" s="23"/>
      <c r="N90" s="23"/>
      <c r="O90" s="23"/>
      <c r="P90" s="23"/>
      <c r="Q90" s="23"/>
      <c r="R90" s="23"/>
      <c r="S90" s="23"/>
      <c r="T90" s="24"/>
      <c r="U90" s="24"/>
    </row>
    <row r="91" ht="15.75" customHeight="1">
      <c r="A91" s="23"/>
      <c r="B91" s="23"/>
      <c r="C91" s="23"/>
      <c r="G91" s="23"/>
      <c r="K91" s="23"/>
      <c r="L91" s="23"/>
      <c r="M91" s="23"/>
      <c r="N91" s="23"/>
      <c r="O91" s="23"/>
      <c r="P91" s="23"/>
      <c r="Q91" s="23"/>
      <c r="R91" s="23"/>
      <c r="S91" s="23"/>
      <c r="T91" s="24"/>
      <c r="U91" s="24"/>
    </row>
    <row r="92" ht="15.75" customHeight="1">
      <c r="A92" s="23"/>
      <c r="B92" s="23"/>
      <c r="C92" s="23"/>
      <c r="G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</row>
    <row r="93" ht="15.75" customHeight="1">
      <c r="A93" s="23"/>
      <c r="B93" s="23"/>
      <c r="C93" s="23"/>
      <c r="G93" s="23"/>
      <c r="K93" s="23"/>
      <c r="L93" s="23"/>
      <c r="M93" s="23"/>
      <c r="N93" s="23"/>
      <c r="O93" s="23"/>
      <c r="P93" s="23"/>
      <c r="Q93" s="23"/>
      <c r="R93" s="23"/>
      <c r="S93" s="23"/>
      <c r="T93" s="24"/>
      <c r="U93" s="24"/>
    </row>
    <row r="94" ht="15.75" customHeight="1">
      <c r="A94" s="23"/>
      <c r="B94" s="23"/>
      <c r="C94" s="23"/>
      <c r="G94" s="23"/>
      <c r="K94" s="23"/>
      <c r="L94" s="23"/>
      <c r="M94" s="23"/>
      <c r="N94" s="23"/>
      <c r="O94" s="23"/>
      <c r="P94" s="23"/>
      <c r="Q94" s="23"/>
      <c r="R94" s="23"/>
      <c r="S94" s="23"/>
      <c r="T94" s="24"/>
      <c r="U94" s="24"/>
    </row>
    <row r="95" ht="15.75" customHeight="1">
      <c r="A95" s="23"/>
      <c r="B95" s="23"/>
      <c r="C95" s="23"/>
      <c r="G95" s="23"/>
      <c r="K95" s="23"/>
      <c r="L95" s="23"/>
      <c r="M95" s="23"/>
      <c r="N95" s="23"/>
      <c r="O95" s="23"/>
      <c r="P95" s="23"/>
      <c r="Q95" s="23"/>
      <c r="R95" s="23"/>
      <c r="S95" s="23"/>
      <c r="T95" s="24"/>
      <c r="U95" s="24"/>
    </row>
    <row r="96" ht="15.75" customHeight="1">
      <c r="A96" s="23"/>
      <c r="B96" s="23"/>
      <c r="C96" s="23"/>
      <c r="G96" s="23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4"/>
    </row>
    <row r="97" ht="15.75" customHeight="1">
      <c r="A97" s="23"/>
      <c r="B97" s="23"/>
      <c r="C97" s="23"/>
      <c r="G97" s="23"/>
      <c r="K97" s="23"/>
      <c r="L97" s="23"/>
      <c r="M97" s="23"/>
      <c r="N97" s="23"/>
      <c r="O97" s="23"/>
      <c r="P97" s="23"/>
      <c r="Q97" s="23"/>
      <c r="R97" s="23"/>
      <c r="S97" s="23"/>
      <c r="T97" s="24"/>
      <c r="U97" s="24"/>
    </row>
    <row r="98" ht="15.75" customHeight="1">
      <c r="A98" s="23"/>
      <c r="B98" s="23"/>
      <c r="C98" s="23"/>
      <c r="G98" s="23"/>
      <c r="K98" s="23"/>
      <c r="L98" s="23"/>
      <c r="M98" s="23"/>
      <c r="N98" s="23"/>
      <c r="O98" s="23"/>
      <c r="P98" s="23"/>
      <c r="Q98" s="23"/>
      <c r="R98" s="23"/>
      <c r="S98" s="23"/>
      <c r="T98" s="24"/>
      <c r="U98" s="24"/>
    </row>
    <row r="99" ht="15.75" customHeight="1">
      <c r="A99" s="23"/>
      <c r="B99" s="23"/>
      <c r="C99" s="23"/>
      <c r="G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</row>
    <row r="100" ht="15.75" customHeight="1">
      <c r="A100" s="23"/>
      <c r="B100" s="23"/>
      <c r="C100" s="23"/>
      <c r="G100" s="23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</row>
    <row r="101" ht="15.75" customHeight="1">
      <c r="A101" s="23"/>
      <c r="B101" s="23"/>
      <c r="C101" s="23"/>
      <c r="G101" s="23"/>
      <c r="K101" s="23"/>
      <c r="L101" s="23"/>
      <c r="M101" s="23"/>
      <c r="N101" s="23"/>
      <c r="O101" s="23"/>
      <c r="P101" s="23"/>
      <c r="Q101" s="23"/>
      <c r="R101" s="23"/>
      <c r="S101" s="23"/>
      <c r="T101" s="24"/>
      <c r="U101" s="24"/>
    </row>
    <row r="102" ht="15.75" customHeight="1">
      <c r="A102" s="23"/>
      <c r="B102" s="23"/>
      <c r="C102" s="23"/>
      <c r="G102" s="23"/>
      <c r="K102" s="23"/>
      <c r="L102" s="23"/>
      <c r="M102" s="23"/>
      <c r="N102" s="23"/>
      <c r="O102" s="23"/>
      <c r="P102" s="23"/>
      <c r="Q102" s="23"/>
      <c r="R102" s="23"/>
      <c r="S102" s="23"/>
      <c r="T102" s="24"/>
      <c r="U102" s="24"/>
    </row>
    <row r="103" ht="15.75" customHeight="1">
      <c r="A103" s="23"/>
      <c r="B103" s="23"/>
      <c r="C103" s="23"/>
      <c r="G103" s="23"/>
      <c r="K103" s="23"/>
      <c r="L103" s="23"/>
      <c r="M103" s="23"/>
      <c r="N103" s="23"/>
      <c r="O103" s="23"/>
      <c r="P103" s="23"/>
      <c r="Q103" s="23"/>
      <c r="R103" s="23"/>
      <c r="S103" s="23"/>
      <c r="T103" s="24"/>
      <c r="U103" s="24"/>
    </row>
    <row r="104" ht="15.75" customHeight="1">
      <c r="A104" s="23"/>
      <c r="B104" s="23"/>
      <c r="C104" s="23"/>
      <c r="G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</row>
    <row r="105" ht="15.75" customHeight="1">
      <c r="A105" s="23"/>
      <c r="B105" s="23"/>
      <c r="C105" s="23"/>
      <c r="G105" s="23"/>
      <c r="K105" s="23"/>
      <c r="L105" s="23"/>
      <c r="M105" s="23"/>
      <c r="N105" s="23"/>
      <c r="O105" s="23"/>
      <c r="P105" s="23"/>
      <c r="Q105" s="23"/>
      <c r="R105" s="23"/>
      <c r="S105" s="23"/>
      <c r="T105" s="24"/>
      <c r="U105" s="24"/>
    </row>
    <row r="106" ht="15.75" customHeight="1">
      <c r="A106" s="23"/>
      <c r="B106" s="23"/>
      <c r="C106" s="23"/>
      <c r="G106" s="23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</row>
    <row r="107" ht="15.75" customHeight="1">
      <c r="A107" s="23"/>
      <c r="B107" s="23"/>
      <c r="C107" s="23"/>
      <c r="G107" s="23"/>
      <c r="K107" s="23"/>
      <c r="L107" s="23"/>
      <c r="M107" s="23"/>
      <c r="N107" s="23"/>
      <c r="O107" s="23"/>
      <c r="P107" s="23"/>
      <c r="Q107" s="23"/>
      <c r="R107" s="23"/>
      <c r="S107" s="23"/>
      <c r="T107" s="24"/>
      <c r="U107" s="24"/>
    </row>
    <row r="108" ht="15.75" customHeight="1">
      <c r="A108" s="23"/>
      <c r="B108" s="23"/>
      <c r="C108" s="23"/>
      <c r="G108" s="23"/>
      <c r="K108" s="23"/>
      <c r="L108" s="23"/>
      <c r="M108" s="23"/>
      <c r="N108" s="23"/>
      <c r="O108" s="23"/>
      <c r="P108" s="23"/>
      <c r="Q108" s="23"/>
      <c r="R108" s="23"/>
      <c r="S108" s="23"/>
      <c r="T108" s="24"/>
      <c r="U108" s="24"/>
    </row>
    <row r="109" ht="15.75" customHeight="1">
      <c r="A109" s="23"/>
      <c r="B109" s="23"/>
      <c r="C109" s="23"/>
      <c r="G109" s="23"/>
      <c r="K109" s="23"/>
      <c r="L109" s="23"/>
      <c r="M109" s="23"/>
      <c r="N109" s="23"/>
      <c r="O109" s="23"/>
      <c r="P109" s="23"/>
      <c r="Q109" s="23"/>
      <c r="R109" s="23"/>
      <c r="S109" s="23"/>
      <c r="T109" s="24"/>
      <c r="U109" s="24"/>
    </row>
    <row r="110" ht="15.75" customHeight="1">
      <c r="A110" s="23"/>
      <c r="B110" s="23"/>
      <c r="C110" s="23"/>
      <c r="G110" s="23"/>
      <c r="K110" s="23"/>
      <c r="L110" s="23"/>
      <c r="M110" s="23"/>
      <c r="N110" s="23"/>
      <c r="O110" s="23"/>
      <c r="P110" s="23"/>
      <c r="Q110" s="23"/>
      <c r="R110" s="23"/>
      <c r="S110" s="23"/>
      <c r="T110" s="24"/>
      <c r="U110" s="24"/>
    </row>
    <row r="111" ht="15.75" customHeight="1">
      <c r="A111" s="23"/>
      <c r="B111" s="23"/>
      <c r="C111" s="23"/>
      <c r="G111" s="23"/>
      <c r="K111" s="23"/>
      <c r="L111" s="23"/>
      <c r="M111" s="23"/>
      <c r="N111" s="23"/>
      <c r="O111" s="23"/>
      <c r="P111" s="23"/>
      <c r="Q111" s="23"/>
      <c r="R111" s="23"/>
      <c r="S111" s="23"/>
      <c r="T111" s="24"/>
      <c r="U111" s="24"/>
    </row>
    <row r="112" ht="15.75" customHeight="1">
      <c r="A112" s="23"/>
      <c r="B112" s="23"/>
      <c r="C112" s="23"/>
      <c r="G112" s="23"/>
      <c r="K112" s="23"/>
      <c r="L112" s="23"/>
      <c r="M112" s="23"/>
      <c r="N112" s="23"/>
      <c r="O112" s="23"/>
      <c r="P112" s="23"/>
      <c r="Q112" s="23"/>
      <c r="R112" s="23"/>
      <c r="S112" s="23"/>
      <c r="T112" s="24"/>
      <c r="U112" s="24"/>
    </row>
    <row r="113" ht="15.75" customHeight="1">
      <c r="A113" s="23"/>
      <c r="B113" s="23"/>
      <c r="C113" s="23"/>
      <c r="G113" s="23"/>
      <c r="K113" s="23"/>
      <c r="L113" s="23"/>
      <c r="M113" s="23"/>
      <c r="N113" s="23"/>
      <c r="O113" s="23"/>
      <c r="P113" s="23"/>
      <c r="Q113" s="23"/>
      <c r="R113" s="23"/>
      <c r="S113" s="23"/>
      <c r="T113" s="24"/>
      <c r="U113" s="24"/>
    </row>
    <row r="114" ht="15.75" customHeight="1">
      <c r="A114" s="23"/>
      <c r="B114" s="23"/>
      <c r="C114" s="23"/>
      <c r="G114" s="23"/>
      <c r="K114" s="23"/>
      <c r="L114" s="23"/>
      <c r="M114" s="23"/>
      <c r="N114" s="23"/>
      <c r="O114" s="23"/>
      <c r="P114" s="23"/>
      <c r="Q114" s="23"/>
      <c r="R114" s="23"/>
      <c r="S114" s="23"/>
      <c r="T114" s="24"/>
      <c r="U114" s="24"/>
    </row>
    <row r="115" ht="15.75" customHeight="1">
      <c r="A115" s="23"/>
      <c r="B115" s="23"/>
      <c r="C115" s="23"/>
      <c r="G115" s="23"/>
      <c r="K115" s="23"/>
      <c r="L115" s="23"/>
      <c r="M115" s="23"/>
      <c r="N115" s="23"/>
      <c r="O115" s="23"/>
      <c r="P115" s="23"/>
      <c r="Q115" s="23"/>
      <c r="R115" s="23"/>
      <c r="S115" s="23"/>
      <c r="T115" s="24"/>
      <c r="U115" s="24"/>
    </row>
    <row r="116" ht="15.75" customHeight="1">
      <c r="A116" s="23"/>
      <c r="B116" s="23"/>
      <c r="C116" s="23"/>
      <c r="G116" s="23"/>
      <c r="K116" s="23"/>
      <c r="L116" s="23"/>
      <c r="M116" s="23"/>
      <c r="N116" s="23"/>
      <c r="O116" s="23"/>
      <c r="P116" s="23"/>
      <c r="Q116" s="23"/>
      <c r="R116" s="23"/>
      <c r="S116" s="23"/>
      <c r="T116" s="24"/>
      <c r="U116" s="24"/>
    </row>
    <row r="117" ht="15.75" customHeight="1">
      <c r="A117" s="23"/>
      <c r="B117" s="23"/>
      <c r="C117" s="23"/>
      <c r="G117" s="23"/>
      <c r="K117" s="23"/>
      <c r="L117" s="23"/>
      <c r="M117" s="23"/>
      <c r="N117" s="23"/>
      <c r="O117" s="23"/>
      <c r="P117" s="23"/>
      <c r="Q117" s="23"/>
      <c r="R117" s="23"/>
      <c r="S117" s="23"/>
      <c r="T117" s="24"/>
      <c r="U117" s="24"/>
    </row>
    <row r="118" ht="15.75" customHeight="1">
      <c r="A118" s="23"/>
      <c r="B118" s="23"/>
      <c r="C118" s="23"/>
      <c r="G118" s="23"/>
      <c r="K118" s="23"/>
      <c r="L118" s="23"/>
      <c r="M118" s="23"/>
      <c r="N118" s="23"/>
      <c r="O118" s="23"/>
      <c r="P118" s="23"/>
      <c r="Q118" s="23"/>
      <c r="R118" s="23"/>
      <c r="S118" s="23"/>
      <c r="T118" s="24"/>
      <c r="U118" s="24"/>
    </row>
    <row r="119" ht="15.75" customHeight="1">
      <c r="A119" s="23"/>
      <c r="B119" s="23"/>
      <c r="C119" s="23"/>
      <c r="G119" s="23"/>
      <c r="K119" s="23"/>
      <c r="L119" s="23"/>
      <c r="M119" s="23"/>
      <c r="N119" s="23"/>
      <c r="O119" s="23"/>
      <c r="P119" s="23"/>
      <c r="Q119" s="23"/>
      <c r="R119" s="23"/>
      <c r="S119" s="23"/>
      <c r="T119" s="24"/>
      <c r="U119" s="24"/>
    </row>
    <row r="120" ht="15.75" customHeight="1">
      <c r="A120" s="23"/>
      <c r="B120" s="23"/>
      <c r="C120" s="23"/>
      <c r="G120" s="23"/>
      <c r="K120" s="23"/>
      <c r="L120" s="23"/>
      <c r="M120" s="23"/>
      <c r="N120" s="23"/>
      <c r="O120" s="23"/>
      <c r="P120" s="23"/>
      <c r="Q120" s="23"/>
      <c r="R120" s="23"/>
      <c r="S120" s="23"/>
      <c r="T120" s="24"/>
      <c r="U120" s="24"/>
    </row>
    <row r="121" ht="15.75" customHeight="1">
      <c r="A121" s="23"/>
      <c r="B121" s="23"/>
      <c r="C121" s="23"/>
      <c r="G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</row>
    <row r="122" ht="15.75" customHeight="1">
      <c r="A122" s="23"/>
      <c r="B122" s="23"/>
      <c r="C122" s="23"/>
      <c r="G122" s="23"/>
      <c r="K122" s="23"/>
      <c r="L122" s="23"/>
      <c r="M122" s="23"/>
      <c r="N122" s="23"/>
      <c r="O122" s="23"/>
      <c r="P122" s="23"/>
      <c r="Q122" s="23"/>
      <c r="R122" s="23"/>
      <c r="S122" s="23"/>
      <c r="T122" s="24"/>
      <c r="U122" s="24"/>
    </row>
    <row r="123" ht="15.75" customHeight="1">
      <c r="A123" s="23"/>
      <c r="B123" s="23"/>
      <c r="C123" s="23"/>
      <c r="G123" s="23"/>
      <c r="K123" s="23"/>
      <c r="L123" s="23"/>
      <c r="M123" s="23"/>
      <c r="N123" s="23"/>
      <c r="O123" s="23"/>
      <c r="P123" s="23"/>
      <c r="Q123" s="23"/>
      <c r="R123" s="23"/>
      <c r="S123" s="23"/>
      <c r="T123" s="24"/>
      <c r="U123" s="24"/>
    </row>
    <row r="124" ht="15.75" customHeight="1">
      <c r="A124" s="23"/>
      <c r="B124" s="23"/>
      <c r="C124" s="23"/>
      <c r="G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</row>
    <row r="125" ht="15.75" customHeight="1">
      <c r="A125" s="23"/>
      <c r="B125" s="23"/>
      <c r="C125" s="23"/>
      <c r="G125" s="23"/>
      <c r="K125" s="23"/>
      <c r="L125" s="23"/>
      <c r="M125" s="23"/>
      <c r="N125" s="23"/>
      <c r="O125" s="23"/>
      <c r="P125" s="23"/>
      <c r="Q125" s="23"/>
      <c r="R125" s="23"/>
      <c r="S125" s="23"/>
      <c r="T125" s="24"/>
      <c r="U125" s="24"/>
    </row>
    <row r="126" ht="15.75" customHeight="1">
      <c r="A126" s="23"/>
      <c r="B126" s="23"/>
      <c r="C126" s="23"/>
      <c r="G126" s="23"/>
      <c r="K126" s="23"/>
      <c r="L126" s="23"/>
      <c r="M126" s="23"/>
      <c r="N126" s="23"/>
      <c r="O126" s="23"/>
      <c r="P126" s="23"/>
      <c r="Q126" s="23"/>
      <c r="R126" s="23"/>
      <c r="S126" s="23"/>
      <c r="T126" s="24"/>
      <c r="U126" s="24"/>
    </row>
    <row r="127" ht="15.75" customHeight="1">
      <c r="A127" s="23"/>
      <c r="B127" s="23"/>
      <c r="C127" s="23"/>
      <c r="G127" s="23"/>
      <c r="K127" s="23"/>
      <c r="L127" s="23"/>
      <c r="M127" s="23"/>
      <c r="N127" s="23"/>
      <c r="O127" s="23"/>
      <c r="P127" s="23"/>
      <c r="Q127" s="23"/>
      <c r="R127" s="23"/>
      <c r="S127" s="23"/>
      <c r="T127" s="24"/>
      <c r="U127" s="24"/>
    </row>
    <row r="128" ht="15.75" customHeight="1">
      <c r="A128" s="23"/>
      <c r="B128" s="23"/>
      <c r="C128" s="23"/>
      <c r="G128" s="23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</row>
    <row r="129" ht="15.75" customHeight="1">
      <c r="A129" s="23"/>
      <c r="B129" s="23"/>
      <c r="C129" s="23"/>
      <c r="G129" s="23"/>
      <c r="K129" s="23"/>
      <c r="L129" s="23"/>
      <c r="M129" s="23"/>
      <c r="N129" s="23"/>
      <c r="O129" s="23"/>
      <c r="P129" s="23"/>
      <c r="Q129" s="23"/>
      <c r="R129" s="23"/>
      <c r="S129" s="23"/>
      <c r="T129" s="24"/>
      <c r="U129" s="24"/>
    </row>
    <row r="130" ht="15.75" customHeight="1">
      <c r="A130" s="23"/>
      <c r="B130" s="23"/>
      <c r="C130" s="23"/>
      <c r="G130" s="23"/>
      <c r="K130" s="23"/>
      <c r="L130" s="23"/>
      <c r="M130" s="23"/>
      <c r="N130" s="23"/>
      <c r="O130" s="23"/>
      <c r="P130" s="23"/>
      <c r="Q130" s="23"/>
      <c r="R130" s="23"/>
      <c r="S130" s="23"/>
      <c r="T130" s="24"/>
      <c r="U130" s="24"/>
    </row>
    <row r="131" ht="15.75" customHeight="1">
      <c r="A131" s="23"/>
      <c r="B131" s="23"/>
      <c r="C131" s="23"/>
      <c r="G131" s="23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</row>
    <row r="132" ht="15.75" customHeight="1">
      <c r="A132" s="23"/>
      <c r="B132" s="23"/>
      <c r="C132" s="23"/>
      <c r="G132" s="23"/>
      <c r="K132" s="23"/>
      <c r="L132" s="23"/>
      <c r="M132" s="23"/>
      <c r="N132" s="23"/>
      <c r="O132" s="23"/>
      <c r="P132" s="23"/>
      <c r="Q132" s="23"/>
      <c r="R132" s="23"/>
      <c r="S132" s="23"/>
      <c r="T132" s="24"/>
      <c r="U132" s="24"/>
    </row>
    <row r="133" ht="15.75" customHeight="1">
      <c r="A133" s="23"/>
      <c r="B133" s="23"/>
      <c r="C133" s="23"/>
      <c r="G133" s="23"/>
      <c r="K133" s="23"/>
      <c r="L133" s="23"/>
      <c r="M133" s="23"/>
      <c r="N133" s="23"/>
      <c r="O133" s="23"/>
      <c r="P133" s="23"/>
      <c r="Q133" s="23"/>
      <c r="R133" s="23"/>
      <c r="S133" s="23"/>
      <c r="T133" s="24"/>
      <c r="U133" s="24"/>
    </row>
    <row r="134" ht="15.75" customHeight="1">
      <c r="A134" s="23"/>
      <c r="B134" s="23"/>
      <c r="C134" s="23"/>
      <c r="G134" s="23"/>
      <c r="K134" s="23"/>
      <c r="L134" s="23"/>
      <c r="M134" s="23"/>
      <c r="N134" s="23"/>
      <c r="O134" s="23"/>
      <c r="P134" s="23"/>
      <c r="Q134" s="23"/>
      <c r="R134" s="23"/>
      <c r="S134" s="23"/>
      <c r="T134" s="24"/>
      <c r="U134" s="24"/>
    </row>
    <row r="135" ht="15.75" customHeight="1">
      <c r="A135" s="23"/>
      <c r="B135" s="23"/>
      <c r="C135" s="23"/>
      <c r="G135" s="23"/>
      <c r="K135" s="23"/>
      <c r="L135" s="23"/>
      <c r="M135" s="23"/>
      <c r="N135" s="23"/>
      <c r="O135" s="23"/>
      <c r="P135" s="23"/>
      <c r="Q135" s="23"/>
      <c r="R135" s="23"/>
      <c r="S135" s="23"/>
      <c r="T135" s="24"/>
      <c r="U135" s="24"/>
    </row>
    <row r="136" ht="15.75" customHeight="1">
      <c r="A136" s="23"/>
      <c r="B136" s="23"/>
      <c r="C136" s="23"/>
      <c r="G136" s="23"/>
      <c r="K136" s="23"/>
      <c r="L136" s="23"/>
      <c r="M136" s="23"/>
      <c r="N136" s="23"/>
      <c r="O136" s="23"/>
      <c r="P136" s="23"/>
      <c r="Q136" s="23"/>
      <c r="R136" s="23"/>
      <c r="S136" s="23"/>
      <c r="T136" s="24"/>
      <c r="U136" s="24"/>
    </row>
    <row r="137" ht="15.75" customHeight="1">
      <c r="A137" s="23"/>
      <c r="B137" s="23"/>
      <c r="C137" s="23"/>
      <c r="G137" s="23"/>
      <c r="K137" s="23"/>
      <c r="L137" s="23"/>
      <c r="M137" s="23"/>
      <c r="N137" s="23"/>
      <c r="O137" s="23"/>
      <c r="P137" s="23"/>
      <c r="Q137" s="23"/>
      <c r="R137" s="23"/>
      <c r="S137" s="23"/>
      <c r="T137" s="24"/>
      <c r="U137" s="24"/>
    </row>
    <row r="138" ht="15.75" customHeight="1">
      <c r="A138" s="23"/>
      <c r="B138" s="23"/>
      <c r="C138" s="23"/>
      <c r="G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</row>
    <row r="139" ht="15.75" customHeight="1">
      <c r="A139" s="23"/>
      <c r="B139" s="23"/>
      <c r="C139" s="23"/>
      <c r="G139" s="23"/>
      <c r="K139" s="23"/>
      <c r="L139" s="23"/>
      <c r="M139" s="23"/>
      <c r="N139" s="23"/>
      <c r="O139" s="23"/>
      <c r="P139" s="23"/>
      <c r="Q139" s="23"/>
      <c r="R139" s="23"/>
      <c r="S139" s="23"/>
      <c r="T139" s="24"/>
      <c r="U139" s="24"/>
    </row>
    <row r="140" ht="15.75" customHeight="1">
      <c r="A140" s="23"/>
      <c r="B140" s="23"/>
      <c r="C140" s="23"/>
      <c r="G140" s="23"/>
      <c r="K140" s="23"/>
      <c r="L140" s="23"/>
      <c r="M140" s="23"/>
      <c r="N140" s="23"/>
      <c r="O140" s="23"/>
      <c r="P140" s="23"/>
      <c r="Q140" s="23"/>
      <c r="R140" s="23"/>
      <c r="S140" s="23"/>
      <c r="T140" s="24"/>
      <c r="U140" s="24"/>
    </row>
    <row r="141" ht="15.75" customHeight="1">
      <c r="A141" s="23"/>
      <c r="B141" s="23"/>
      <c r="C141" s="23"/>
      <c r="G141" s="23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</row>
    <row r="142" ht="15.75" customHeight="1">
      <c r="A142" s="23"/>
      <c r="B142" s="23"/>
      <c r="C142" s="23"/>
      <c r="G142" s="23"/>
      <c r="K142" s="23"/>
      <c r="L142" s="23"/>
      <c r="M142" s="23"/>
      <c r="N142" s="23"/>
      <c r="O142" s="23"/>
      <c r="P142" s="23"/>
      <c r="Q142" s="23"/>
      <c r="R142" s="23"/>
      <c r="S142" s="23"/>
      <c r="T142" s="24"/>
      <c r="U142" s="24"/>
    </row>
    <row r="143" ht="15.75" customHeight="1">
      <c r="A143" s="23"/>
      <c r="B143" s="23"/>
      <c r="C143" s="23"/>
      <c r="G143" s="23"/>
      <c r="K143" s="23"/>
      <c r="L143" s="23"/>
      <c r="M143" s="23"/>
      <c r="N143" s="23"/>
      <c r="O143" s="23"/>
      <c r="P143" s="23"/>
      <c r="Q143" s="23"/>
      <c r="R143" s="23"/>
      <c r="S143" s="23"/>
      <c r="T143" s="24"/>
      <c r="U143" s="24"/>
    </row>
    <row r="144" ht="15.75" customHeight="1">
      <c r="A144" s="23"/>
      <c r="B144" s="23"/>
      <c r="C144" s="23"/>
      <c r="G144" s="23"/>
      <c r="K144" s="23"/>
      <c r="L144" s="23"/>
      <c r="M144" s="23"/>
      <c r="N144" s="23"/>
      <c r="O144" s="23"/>
      <c r="P144" s="23"/>
      <c r="Q144" s="23"/>
      <c r="R144" s="23"/>
      <c r="S144" s="23"/>
      <c r="T144" s="24"/>
      <c r="U144" s="24"/>
    </row>
    <row r="145" ht="15.75" customHeight="1">
      <c r="A145" s="23"/>
      <c r="B145" s="23"/>
      <c r="C145" s="23"/>
      <c r="G145" s="23"/>
      <c r="K145" s="23"/>
      <c r="L145" s="23"/>
      <c r="M145" s="23"/>
      <c r="N145" s="23"/>
      <c r="O145" s="23"/>
      <c r="P145" s="23"/>
      <c r="Q145" s="23"/>
      <c r="R145" s="23"/>
      <c r="S145" s="23"/>
      <c r="T145" s="24"/>
      <c r="U145" s="24"/>
    </row>
    <row r="146" ht="15.75" customHeight="1">
      <c r="A146" s="23"/>
      <c r="B146" s="23"/>
      <c r="C146" s="23"/>
      <c r="G146" s="23"/>
      <c r="K146" s="23"/>
      <c r="L146" s="23"/>
      <c r="M146" s="23"/>
      <c r="N146" s="23"/>
      <c r="O146" s="23"/>
      <c r="P146" s="23"/>
      <c r="Q146" s="23"/>
      <c r="R146" s="23"/>
      <c r="S146" s="23"/>
      <c r="T146" s="24"/>
      <c r="U146" s="24"/>
    </row>
    <row r="147" ht="15.75" customHeight="1">
      <c r="A147" s="23"/>
      <c r="B147" s="23"/>
      <c r="C147" s="23"/>
      <c r="G147" s="23"/>
      <c r="K147" s="23"/>
      <c r="L147" s="23"/>
      <c r="M147" s="23"/>
      <c r="N147" s="23"/>
      <c r="O147" s="23"/>
      <c r="P147" s="23"/>
      <c r="Q147" s="23"/>
      <c r="R147" s="23"/>
      <c r="S147" s="23"/>
      <c r="T147" s="24"/>
      <c r="U147" s="24"/>
    </row>
    <row r="148" ht="15.75" customHeight="1">
      <c r="A148" s="23"/>
      <c r="B148" s="23"/>
      <c r="C148" s="23"/>
      <c r="G148" s="23"/>
      <c r="K148" s="23"/>
      <c r="L148" s="23"/>
      <c r="M148" s="23"/>
      <c r="N148" s="23"/>
      <c r="O148" s="23"/>
      <c r="P148" s="23"/>
      <c r="Q148" s="23"/>
      <c r="R148" s="23"/>
      <c r="S148" s="23"/>
      <c r="T148" s="24"/>
      <c r="U148" s="24"/>
    </row>
    <row r="149" ht="15.75" customHeight="1">
      <c r="A149" s="23"/>
      <c r="B149" s="23"/>
      <c r="C149" s="23"/>
      <c r="G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</row>
    <row r="150" ht="15.75" customHeight="1">
      <c r="A150" s="23"/>
      <c r="B150" s="23"/>
      <c r="C150" s="23"/>
      <c r="G150" s="23"/>
      <c r="K150" s="23"/>
      <c r="L150" s="23"/>
      <c r="M150" s="23"/>
      <c r="N150" s="23"/>
      <c r="O150" s="23"/>
      <c r="P150" s="23"/>
      <c r="Q150" s="23"/>
      <c r="R150" s="23"/>
      <c r="S150" s="23"/>
      <c r="T150" s="24"/>
      <c r="U150" s="24"/>
    </row>
    <row r="151" ht="15.75" customHeight="1">
      <c r="A151" s="23"/>
      <c r="B151" s="23"/>
      <c r="C151" s="23"/>
      <c r="G151" s="23"/>
      <c r="K151" s="23"/>
      <c r="L151" s="23"/>
      <c r="M151" s="23"/>
      <c r="N151" s="23"/>
      <c r="O151" s="23"/>
      <c r="P151" s="23"/>
      <c r="Q151" s="23"/>
      <c r="R151" s="23"/>
      <c r="S151" s="23"/>
      <c r="T151" s="24"/>
      <c r="U151" s="24"/>
    </row>
    <row r="152" ht="15.75" customHeight="1">
      <c r="A152" s="23"/>
      <c r="B152" s="23"/>
      <c r="C152" s="23"/>
      <c r="G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</row>
    <row r="153" ht="15.75" customHeight="1">
      <c r="A153" s="23"/>
      <c r="B153" s="23"/>
      <c r="C153" s="23"/>
      <c r="G153" s="23"/>
      <c r="K153" s="23"/>
      <c r="L153" s="23"/>
      <c r="M153" s="23"/>
      <c r="N153" s="23"/>
      <c r="O153" s="23"/>
      <c r="P153" s="23"/>
      <c r="Q153" s="23"/>
      <c r="R153" s="23"/>
      <c r="S153" s="23"/>
      <c r="T153" s="24"/>
      <c r="U153" s="24"/>
    </row>
    <row r="154" ht="15.75" customHeight="1">
      <c r="A154" s="23"/>
      <c r="B154" s="23"/>
      <c r="C154" s="23"/>
      <c r="G154" s="23"/>
      <c r="K154" s="23"/>
      <c r="L154" s="23"/>
      <c r="M154" s="23"/>
      <c r="N154" s="23"/>
      <c r="O154" s="23"/>
      <c r="P154" s="23"/>
      <c r="Q154" s="23"/>
      <c r="R154" s="23"/>
      <c r="S154" s="23"/>
      <c r="T154" s="24"/>
      <c r="U154" s="24"/>
    </row>
    <row r="155" ht="15.75" customHeight="1">
      <c r="A155" s="23"/>
      <c r="B155" s="23"/>
      <c r="C155" s="23"/>
      <c r="G155" s="23"/>
      <c r="K155" s="23"/>
      <c r="L155" s="23"/>
      <c r="M155" s="23"/>
      <c r="N155" s="23"/>
      <c r="O155" s="23"/>
      <c r="P155" s="23"/>
      <c r="Q155" s="23"/>
      <c r="R155" s="23"/>
      <c r="S155" s="23"/>
      <c r="T155" s="24"/>
      <c r="U155" s="24"/>
    </row>
    <row r="156" ht="15.75" customHeight="1">
      <c r="A156" s="23"/>
      <c r="B156" s="23"/>
      <c r="C156" s="23"/>
      <c r="G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</row>
    <row r="157" ht="15.75" customHeight="1">
      <c r="A157" s="23"/>
      <c r="B157" s="23"/>
      <c r="C157" s="23"/>
      <c r="G157" s="23"/>
      <c r="K157" s="23"/>
      <c r="L157" s="23"/>
      <c r="M157" s="23"/>
      <c r="N157" s="23"/>
      <c r="O157" s="23"/>
      <c r="P157" s="23"/>
      <c r="Q157" s="23"/>
      <c r="R157" s="23"/>
      <c r="S157" s="23"/>
      <c r="T157" s="24"/>
      <c r="U157" s="24"/>
    </row>
    <row r="158" ht="15.75" customHeight="1">
      <c r="A158" s="23"/>
      <c r="B158" s="23"/>
      <c r="C158" s="23"/>
      <c r="G158" s="23"/>
      <c r="K158" s="23"/>
      <c r="L158" s="23"/>
      <c r="M158" s="23"/>
      <c r="N158" s="23"/>
      <c r="O158" s="23"/>
      <c r="P158" s="23"/>
      <c r="Q158" s="23"/>
      <c r="R158" s="23"/>
      <c r="S158" s="23"/>
      <c r="T158" s="24"/>
      <c r="U158" s="24"/>
    </row>
    <row r="159" ht="15.75" customHeight="1">
      <c r="A159" s="23"/>
      <c r="B159" s="23"/>
      <c r="C159" s="23"/>
      <c r="G159" s="23"/>
      <c r="K159" s="23"/>
      <c r="L159" s="23"/>
      <c r="M159" s="23"/>
      <c r="N159" s="23"/>
      <c r="O159" s="23"/>
      <c r="P159" s="23"/>
      <c r="Q159" s="23"/>
      <c r="R159" s="23"/>
      <c r="S159" s="23"/>
      <c r="T159" s="24"/>
      <c r="U159" s="24"/>
    </row>
    <row r="160" ht="15.75" customHeight="1">
      <c r="A160" s="23"/>
      <c r="B160" s="23"/>
      <c r="C160" s="23"/>
      <c r="G160" s="23"/>
      <c r="K160" s="23"/>
      <c r="L160" s="23"/>
      <c r="M160" s="23"/>
      <c r="N160" s="23"/>
      <c r="O160" s="23"/>
      <c r="P160" s="23"/>
      <c r="Q160" s="23"/>
      <c r="R160" s="23"/>
      <c r="S160" s="23"/>
      <c r="T160" s="24"/>
      <c r="U160" s="24"/>
    </row>
    <row r="161" ht="15.75" customHeight="1">
      <c r="A161" s="23"/>
      <c r="B161" s="23"/>
      <c r="C161" s="23"/>
      <c r="G161" s="23"/>
      <c r="K161" s="23"/>
      <c r="L161" s="23"/>
      <c r="M161" s="23"/>
      <c r="N161" s="23"/>
      <c r="O161" s="23"/>
      <c r="P161" s="23"/>
      <c r="Q161" s="23"/>
      <c r="R161" s="23"/>
      <c r="S161" s="23"/>
      <c r="T161" s="24"/>
      <c r="U161" s="24"/>
    </row>
    <row r="162" ht="15.75" customHeight="1">
      <c r="A162" s="23"/>
      <c r="B162" s="23"/>
      <c r="C162" s="23"/>
      <c r="G162" s="23"/>
      <c r="K162" s="23"/>
      <c r="L162" s="23"/>
      <c r="M162" s="23"/>
      <c r="N162" s="23"/>
      <c r="O162" s="23"/>
      <c r="P162" s="23"/>
      <c r="Q162" s="23"/>
      <c r="R162" s="23"/>
      <c r="S162" s="23"/>
      <c r="T162" s="24"/>
      <c r="U162" s="24"/>
    </row>
    <row r="163" ht="15.75" customHeight="1">
      <c r="A163" s="23"/>
      <c r="B163" s="23"/>
      <c r="C163" s="23"/>
      <c r="G163" s="23"/>
      <c r="K163" s="23"/>
      <c r="L163" s="23"/>
      <c r="M163" s="23"/>
      <c r="N163" s="23"/>
      <c r="O163" s="23"/>
      <c r="P163" s="23"/>
      <c r="Q163" s="23"/>
      <c r="R163" s="23"/>
      <c r="S163" s="23"/>
      <c r="T163" s="24"/>
      <c r="U163" s="24"/>
    </row>
    <row r="164" ht="15.75" customHeight="1">
      <c r="A164" s="23"/>
      <c r="B164" s="23"/>
      <c r="C164" s="23"/>
      <c r="G164" s="23"/>
      <c r="K164" s="23"/>
      <c r="L164" s="23"/>
      <c r="M164" s="23"/>
      <c r="N164" s="23"/>
      <c r="O164" s="23"/>
      <c r="P164" s="23"/>
      <c r="Q164" s="23"/>
      <c r="R164" s="23"/>
      <c r="S164" s="23"/>
      <c r="T164" s="24"/>
      <c r="U164" s="24"/>
    </row>
    <row r="165" ht="15.75" customHeight="1">
      <c r="A165" s="23"/>
      <c r="B165" s="23"/>
      <c r="C165" s="23"/>
      <c r="G165" s="23"/>
      <c r="K165" s="23"/>
      <c r="L165" s="23"/>
      <c r="M165" s="23"/>
      <c r="N165" s="23"/>
      <c r="O165" s="23"/>
      <c r="P165" s="23"/>
      <c r="Q165" s="23"/>
      <c r="R165" s="23"/>
      <c r="S165" s="23"/>
      <c r="T165" s="24"/>
      <c r="U165" s="24"/>
    </row>
    <row r="166" ht="15.75" customHeight="1">
      <c r="A166" s="23"/>
      <c r="B166" s="23"/>
      <c r="C166" s="23"/>
      <c r="G166" s="23"/>
      <c r="K166" s="23"/>
      <c r="L166" s="23"/>
      <c r="M166" s="23"/>
      <c r="N166" s="23"/>
      <c r="O166" s="23"/>
      <c r="P166" s="23"/>
      <c r="Q166" s="23"/>
      <c r="R166" s="23"/>
      <c r="S166" s="23"/>
      <c r="T166" s="24"/>
      <c r="U166" s="24"/>
    </row>
    <row r="167" ht="15.75" customHeight="1">
      <c r="A167" s="23"/>
      <c r="B167" s="23"/>
      <c r="C167" s="23"/>
      <c r="G167" s="23"/>
      <c r="K167" s="23"/>
      <c r="L167" s="23"/>
      <c r="M167" s="23"/>
      <c r="N167" s="23"/>
      <c r="O167" s="23"/>
      <c r="P167" s="23"/>
      <c r="Q167" s="23"/>
      <c r="R167" s="23"/>
      <c r="S167" s="23"/>
      <c r="T167" s="24"/>
      <c r="U167" s="24"/>
    </row>
    <row r="168" ht="15.75" customHeight="1">
      <c r="A168" s="23"/>
      <c r="B168" s="23"/>
      <c r="C168" s="23"/>
      <c r="G168" s="23"/>
      <c r="K168" s="23"/>
      <c r="L168" s="23"/>
      <c r="M168" s="23"/>
      <c r="N168" s="23"/>
      <c r="O168" s="23"/>
      <c r="P168" s="23"/>
      <c r="Q168" s="23"/>
      <c r="R168" s="23"/>
      <c r="S168" s="23"/>
      <c r="T168" s="24"/>
      <c r="U168" s="24"/>
    </row>
    <row r="169" ht="15.75" customHeight="1">
      <c r="A169" s="23"/>
      <c r="B169" s="23"/>
      <c r="C169" s="23"/>
      <c r="G169" s="23"/>
      <c r="K169" s="23"/>
      <c r="L169" s="23"/>
      <c r="M169" s="23"/>
      <c r="N169" s="23"/>
      <c r="O169" s="23"/>
      <c r="P169" s="23"/>
      <c r="Q169" s="23"/>
      <c r="R169" s="23"/>
      <c r="S169" s="23"/>
      <c r="T169" s="24"/>
      <c r="U169" s="24"/>
    </row>
    <row r="170" ht="15.75" customHeight="1">
      <c r="A170" s="23"/>
      <c r="B170" s="23"/>
      <c r="C170" s="23"/>
      <c r="G170" s="23"/>
      <c r="K170" s="23"/>
      <c r="L170" s="23"/>
      <c r="M170" s="23"/>
      <c r="N170" s="23"/>
      <c r="O170" s="23"/>
      <c r="P170" s="23"/>
      <c r="Q170" s="23"/>
      <c r="R170" s="23"/>
      <c r="S170" s="23"/>
      <c r="T170" s="24"/>
      <c r="U170" s="24"/>
    </row>
    <row r="171" ht="15.75" customHeight="1">
      <c r="A171" s="23"/>
      <c r="B171" s="23"/>
      <c r="C171" s="23"/>
      <c r="G171" s="23"/>
      <c r="K171" s="23"/>
      <c r="L171" s="23"/>
      <c r="M171" s="23"/>
      <c r="N171" s="23"/>
      <c r="O171" s="23"/>
      <c r="P171" s="23"/>
      <c r="Q171" s="23"/>
      <c r="R171" s="23"/>
      <c r="S171" s="23"/>
      <c r="T171" s="24"/>
      <c r="U171" s="24"/>
    </row>
    <row r="172" ht="15.75" customHeight="1">
      <c r="A172" s="23"/>
      <c r="B172" s="23"/>
      <c r="C172" s="23"/>
      <c r="G172" s="23"/>
      <c r="K172" s="23"/>
      <c r="L172" s="23"/>
      <c r="M172" s="23"/>
      <c r="N172" s="23"/>
      <c r="O172" s="23"/>
      <c r="P172" s="23"/>
      <c r="Q172" s="23"/>
      <c r="R172" s="23"/>
      <c r="S172" s="23"/>
      <c r="T172" s="24"/>
      <c r="U172" s="24"/>
    </row>
    <row r="173" ht="15.75" customHeight="1">
      <c r="A173" s="23"/>
      <c r="B173" s="23"/>
      <c r="C173" s="23"/>
      <c r="G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  <c r="U173" s="24"/>
    </row>
    <row r="174" ht="15.75" customHeight="1">
      <c r="A174" s="23"/>
      <c r="B174" s="23"/>
      <c r="C174" s="23"/>
      <c r="G174" s="23"/>
      <c r="K174" s="23"/>
      <c r="L174" s="23"/>
      <c r="M174" s="23"/>
      <c r="N174" s="23"/>
      <c r="O174" s="23"/>
      <c r="P174" s="23"/>
      <c r="Q174" s="23"/>
      <c r="R174" s="23"/>
      <c r="S174" s="23"/>
      <c r="T174" s="24"/>
      <c r="U174" s="24"/>
    </row>
    <row r="175" ht="15.75" customHeight="1">
      <c r="A175" s="23"/>
      <c r="B175" s="23"/>
      <c r="C175" s="23"/>
      <c r="G175" s="23"/>
      <c r="K175" s="23"/>
      <c r="L175" s="23"/>
      <c r="M175" s="23"/>
      <c r="N175" s="23"/>
      <c r="O175" s="23"/>
      <c r="P175" s="23"/>
      <c r="Q175" s="23"/>
      <c r="R175" s="23"/>
      <c r="S175" s="23"/>
      <c r="T175" s="24"/>
      <c r="U175" s="24"/>
    </row>
    <row r="176" ht="15.75" customHeight="1">
      <c r="A176" s="23"/>
      <c r="B176" s="23"/>
      <c r="C176" s="23"/>
      <c r="G176" s="23"/>
      <c r="K176" s="23"/>
      <c r="L176" s="23"/>
      <c r="M176" s="23"/>
      <c r="N176" s="23"/>
      <c r="O176" s="23"/>
      <c r="P176" s="23"/>
      <c r="Q176" s="23"/>
      <c r="R176" s="23"/>
      <c r="S176" s="23"/>
      <c r="T176" s="24"/>
      <c r="U176" s="24"/>
    </row>
    <row r="177" ht="15.75" customHeight="1">
      <c r="A177" s="23"/>
      <c r="B177" s="23"/>
      <c r="C177" s="23"/>
      <c r="G177" s="23"/>
      <c r="K177" s="23"/>
      <c r="L177" s="23"/>
      <c r="M177" s="23"/>
      <c r="N177" s="23"/>
      <c r="O177" s="23"/>
      <c r="P177" s="23"/>
      <c r="Q177" s="23"/>
      <c r="R177" s="23"/>
      <c r="S177" s="23"/>
      <c r="T177" s="24"/>
      <c r="U177" s="24"/>
    </row>
    <row r="178" ht="15.75" customHeight="1">
      <c r="A178" s="23"/>
      <c r="B178" s="23"/>
      <c r="C178" s="23"/>
      <c r="G178" s="23"/>
      <c r="K178" s="23"/>
      <c r="L178" s="23"/>
      <c r="M178" s="23"/>
      <c r="N178" s="23"/>
      <c r="O178" s="23"/>
      <c r="P178" s="23"/>
      <c r="Q178" s="23"/>
      <c r="R178" s="23"/>
      <c r="S178" s="23"/>
      <c r="T178" s="24"/>
      <c r="U178" s="24"/>
    </row>
    <row r="179" ht="15.75" customHeight="1">
      <c r="A179" s="23"/>
      <c r="B179" s="23"/>
      <c r="C179" s="23"/>
      <c r="G179" s="23"/>
      <c r="K179" s="23"/>
      <c r="L179" s="23"/>
      <c r="M179" s="23"/>
      <c r="N179" s="23"/>
      <c r="O179" s="23"/>
      <c r="P179" s="23"/>
      <c r="Q179" s="23"/>
      <c r="R179" s="23"/>
      <c r="S179" s="23"/>
      <c r="T179" s="24"/>
      <c r="U179" s="24"/>
    </row>
    <row r="180" ht="15.75" customHeight="1">
      <c r="A180" s="23"/>
      <c r="B180" s="23"/>
      <c r="C180" s="23"/>
      <c r="G180" s="23"/>
      <c r="K180" s="23"/>
      <c r="L180" s="23"/>
      <c r="M180" s="23"/>
      <c r="N180" s="23"/>
      <c r="O180" s="23"/>
      <c r="P180" s="23"/>
      <c r="Q180" s="23"/>
      <c r="R180" s="23"/>
      <c r="S180" s="23"/>
      <c r="T180" s="24"/>
      <c r="U180" s="24"/>
    </row>
    <row r="181" ht="15.75" customHeight="1">
      <c r="A181" s="23"/>
      <c r="B181" s="23"/>
      <c r="C181" s="23"/>
      <c r="G181" s="23"/>
      <c r="K181" s="23"/>
      <c r="L181" s="23"/>
      <c r="M181" s="23"/>
      <c r="N181" s="23"/>
      <c r="O181" s="23"/>
      <c r="P181" s="23"/>
      <c r="Q181" s="23"/>
      <c r="R181" s="23"/>
      <c r="S181" s="23"/>
      <c r="T181" s="24"/>
      <c r="U181" s="24"/>
    </row>
    <row r="182" ht="15.75" customHeight="1">
      <c r="A182" s="23"/>
      <c r="B182" s="23"/>
      <c r="C182" s="23"/>
      <c r="G182" s="23"/>
      <c r="K182" s="23"/>
      <c r="L182" s="23"/>
      <c r="M182" s="23"/>
      <c r="N182" s="23"/>
      <c r="O182" s="23"/>
      <c r="P182" s="23"/>
      <c r="Q182" s="23"/>
      <c r="R182" s="23"/>
      <c r="S182" s="23"/>
      <c r="T182" s="24"/>
      <c r="U182" s="24"/>
    </row>
    <row r="183" ht="15.75" customHeight="1">
      <c r="A183" s="23"/>
      <c r="B183" s="23"/>
      <c r="C183" s="23"/>
      <c r="G183" s="23"/>
      <c r="K183" s="23"/>
      <c r="L183" s="23"/>
      <c r="M183" s="23"/>
      <c r="N183" s="23"/>
      <c r="O183" s="23"/>
      <c r="P183" s="23"/>
      <c r="Q183" s="23"/>
      <c r="R183" s="23"/>
      <c r="S183" s="23"/>
      <c r="T183" s="24"/>
      <c r="U183" s="24"/>
    </row>
    <row r="184" ht="15.75" customHeight="1">
      <c r="A184" s="23"/>
      <c r="B184" s="23"/>
      <c r="C184" s="23"/>
      <c r="G184" s="23"/>
      <c r="K184" s="23"/>
      <c r="L184" s="23"/>
      <c r="M184" s="23"/>
      <c r="N184" s="23"/>
      <c r="O184" s="23"/>
      <c r="P184" s="23"/>
      <c r="Q184" s="23"/>
      <c r="R184" s="23"/>
      <c r="S184" s="23"/>
      <c r="T184" s="24"/>
      <c r="U184" s="24"/>
    </row>
    <row r="185" ht="15.75" customHeight="1">
      <c r="A185" s="23"/>
      <c r="B185" s="23"/>
      <c r="C185" s="23"/>
      <c r="G185" s="23"/>
      <c r="K185" s="23"/>
      <c r="L185" s="23"/>
      <c r="M185" s="23"/>
      <c r="N185" s="23"/>
      <c r="O185" s="23"/>
      <c r="P185" s="23"/>
      <c r="Q185" s="23"/>
      <c r="R185" s="23"/>
      <c r="S185" s="23"/>
      <c r="T185" s="24"/>
      <c r="U185" s="24"/>
    </row>
    <row r="186" ht="15.75" customHeight="1">
      <c r="A186" s="23"/>
      <c r="B186" s="23"/>
      <c r="C186" s="23"/>
      <c r="G186" s="23"/>
      <c r="K186" s="23"/>
      <c r="L186" s="23"/>
      <c r="M186" s="23"/>
      <c r="N186" s="23"/>
      <c r="O186" s="23"/>
      <c r="P186" s="23"/>
      <c r="Q186" s="23"/>
      <c r="R186" s="23"/>
      <c r="S186" s="23"/>
      <c r="T186" s="24"/>
      <c r="U186" s="24"/>
    </row>
    <row r="187" ht="15.75" customHeight="1">
      <c r="A187" s="23"/>
      <c r="B187" s="23"/>
      <c r="C187" s="23"/>
      <c r="G187" s="23"/>
      <c r="K187" s="23"/>
      <c r="L187" s="23"/>
      <c r="M187" s="23"/>
      <c r="N187" s="23"/>
      <c r="O187" s="23"/>
      <c r="P187" s="23"/>
      <c r="Q187" s="23"/>
      <c r="R187" s="23"/>
      <c r="S187" s="23"/>
      <c r="T187" s="24"/>
      <c r="U187" s="24"/>
    </row>
    <row r="188" ht="15.75" customHeight="1">
      <c r="A188" s="23"/>
      <c r="B188" s="23"/>
      <c r="C188" s="23"/>
      <c r="G188" s="23"/>
      <c r="K188" s="23"/>
      <c r="L188" s="23"/>
      <c r="M188" s="23"/>
      <c r="N188" s="23"/>
      <c r="O188" s="23"/>
      <c r="P188" s="23"/>
      <c r="Q188" s="23"/>
      <c r="R188" s="23"/>
      <c r="S188" s="23"/>
      <c r="T188" s="24"/>
      <c r="U188" s="24"/>
    </row>
    <row r="189" ht="15.75" customHeight="1">
      <c r="A189" s="23"/>
      <c r="B189" s="23"/>
      <c r="C189" s="23"/>
      <c r="G189" s="23"/>
      <c r="K189" s="23"/>
      <c r="L189" s="23"/>
      <c r="M189" s="23"/>
      <c r="N189" s="23"/>
      <c r="O189" s="23"/>
      <c r="P189" s="23"/>
      <c r="Q189" s="23"/>
      <c r="R189" s="23"/>
      <c r="S189" s="23"/>
      <c r="T189" s="24"/>
      <c r="U189" s="24"/>
    </row>
    <row r="190" ht="15.75" customHeight="1">
      <c r="A190" s="23"/>
      <c r="B190" s="23"/>
      <c r="C190" s="23"/>
      <c r="G190" s="23"/>
      <c r="K190" s="23"/>
      <c r="L190" s="23"/>
      <c r="M190" s="23"/>
      <c r="N190" s="23"/>
      <c r="O190" s="23"/>
      <c r="P190" s="23"/>
      <c r="Q190" s="23"/>
      <c r="R190" s="23"/>
      <c r="S190" s="23"/>
      <c r="T190" s="24"/>
      <c r="U190" s="24"/>
    </row>
    <row r="191" ht="15.75" customHeight="1">
      <c r="A191" s="23"/>
      <c r="B191" s="23"/>
      <c r="C191" s="23"/>
      <c r="G191" s="23"/>
      <c r="K191" s="23"/>
      <c r="L191" s="23"/>
      <c r="M191" s="23"/>
      <c r="N191" s="23"/>
      <c r="O191" s="23"/>
      <c r="P191" s="23"/>
      <c r="Q191" s="23"/>
      <c r="R191" s="23"/>
      <c r="S191" s="23"/>
      <c r="T191" s="24"/>
      <c r="U191" s="24"/>
    </row>
    <row r="192" ht="15.75" customHeight="1">
      <c r="A192" s="23"/>
      <c r="B192" s="23"/>
      <c r="C192" s="23"/>
      <c r="G192" s="23"/>
      <c r="K192" s="23"/>
      <c r="L192" s="23"/>
      <c r="M192" s="23"/>
      <c r="N192" s="23"/>
      <c r="O192" s="23"/>
      <c r="P192" s="23"/>
      <c r="Q192" s="23"/>
      <c r="R192" s="23"/>
      <c r="S192" s="23"/>
      <c r="T192" s="24"/>
      <c r="U192" s="24"/>
    </row>
    <row r="193" ht="15.75" customHeight="1">
      <c r="A193" s="23"/>
      <c r="B193" s="23"/>
      <c r="C193" s="23"/>
      <c r="G193" s="23"/>
      <c r="K193" s="23"/>
      <c r="L193" s="23"/>
      <c r="M193" s="23"/>
      <c r="N193" s="23"/>
      <c r="O193" s="23"/>
      <c r="P193" s="23"/>
      <c r="Q193" s="23"/>
      <c r="R193" s="23"/>
      <c r="S193" s="23"/>
      <c r="T193" s="24"/>
      <c r="U193" s="24"/>
    </row>
    <row r="194" ht="15.75" customHeight="1">
      <c r="A194" s="23"/>
      <c r="B194" s="23"/>
      <c r="C194" s="23"/>
      <c r="G194" s="23"/>
      <c r="K194" s="23"/>
      <c r="L194" s="23"/>
      <c r="M194" s="23"/>
      <c r="N194" s="23"/>
      <c r="O194" s="23"/>
      <c r="P194" s="23"/>
      <c r="Q194" s="23"/>
      <c r="R194" s="23"/>
      <c r="S194" s="23"/>
      <c r="T194" s="24"/>
      <c r="U194" s="24"/>
    </row>
    <row r="195" ht="15.75" customHeight="1">
      <c r="A195" s="23"/>
      <c r="B195" s="23"/>
      <c r="C195" s="23"/>
      <c r="G195" s="23"/>
      <c r="K195" s="23"/>
      <c r="L195" s="23"/>
      <c r="M195" s="23"/>
      <c r="N195" s="23"/>
      <c r="O195" s="23"/>
      <c r="P195" s="23"/>
      <c r="Q195" s="23"/>
      <c r="R195" s="23"/>
      <c r="S195" s="23"/>
      <c r="T195" s="24"/>
      <c r="U195" s="24"/>
    </row>
    <row r="196" ht="15.75" customHeight="1">
      <c r="A196" s="23"/>
      <c r="B196" s="23"/>
      <c r="C196" s="23"/>
      <c r="G196" s="23"/>
      <c r="K196" s="23"/>
      <c r="L196" s="23"/>
      <c r="M196" s="23"/>
      <c r="N196" s="23"/>
      <c r="O196" s="23"/>
      <c r="P196" s="23"/>
      <c r="Q196" s="23"/>
      <c r="R196" s="23"/>
      <c r="S196" s="23"/>
      <c r="T196" s="24"/>
      <c r="U196" s="24"/>
    </row>
    <row r="197" ht="15.75" customHeight="1">
      <c r="A197" s="23"/>
      <c r="B197" s="23"/>
      <c r="C197" s="23"/>
      <c r="G197" s="23"/>
      <c r="K197" s="23"/>
      <c r="L197" s="23"/>
      <c r="M197" s="23"/>
      <c r="N197" s="23"/>
      <c r="O197" s="23"/>
      <c r="P197" s="23"/>
      <c r="Q197" s="23"/>
      <c r="R197" s="23"/>
      <c r="S197" s="23"/>
      <c r="T197" s="24"/>
      <c r="U197" s="24"/>
    </row>
    <row r="198" ht="15.75" customHeight="1">
      <c r="A198" s="23"/>
      <c r="B198" s="23"/>
      <c r="C198" s="23"/>
      <c r="G198" s="23"/>
      <c r="K198" s="23"/>
      <c r="L198" s="23"/>
      <c r="M198" s="23"/>
      <c r="N198" s="23"/>
      <c r="O198" s="23"/>
      <c r="P198" s="23"/>
      <c r="Q198" s="23"/>
      <c r="R198" s="23"/>
      <c r="S198" s="23"/>
      <c r="T198" s="24"/>
      <c r="U198" s="24"/>
    </row>
    <row r="199" ht="15.75" customHeight="1">
      <c r="A199" s="23"/>
      <c r="B199" s="23"/>
      <c r="C199" s="23"/>
      <c r="G199" s="23"/>
      <c r="K199" s="23"/>
      <c r="L199" s="23"/>
      <c r="M199" s="23"/>
      <c r="N199" s="23"/>
      <c r="O199" s="23"/>
      <c r="P199" s="23"/>
      <c r="Q199" s="23"/>
      <c r="R199" s="23"/>
      <c r="S199" s="23"/>
      <c r="T199" s="24"/>
      <c r="U199" s="24"/>
    </row>
    <row r="200" ht="15.75" customHeight="1">
      <c r="A200" s="23"/>
      <c r="B200" s="23"/>
      <c r="C200" s="23"/>
      <c r="G200" s="23"/>
      <c r="K200" s="23"/>
      <c r="L200" s="23"/>
      <c r="M200" s="23"/>
      <c r="N200" s="23"/>
      <c r="O200" s="23"/>
      <c r="P200" s="23"/>
      <c r="Q200" s="23"/>
      <c r="R200" s="23"/>
      <c r="S200" s="23"/>
      <c r="T200" s="24"/>
      <c r="U200" s="24"/>
    </row>
    <row r="201" ht="15.75" customHeight="1">
      <c r="A201" s="23"/>
      <c r="B201" s="23"/>
      <c r="C201" s="23"/>
      <c r="G201" s="23"/>
      <c r="K201" s="23"/>
      <c r="L201" s="23"/>
      <c r="M201" s="23"/>
      <c r="N201" s="23"/>
      <c r="O201" s="23"/>
      <c r="P201" s="23"/>
      <c r="Q201" s="23"/>
      <c r="R201" s="23"/>
      <c r="S201" s="23"/>
      <c r="T201" s="24"/>
      <c r="U201" s="24"/>
    </row>
    <row r="202" ht="15.75" customHeight="1">
      <c r="A202" s="23"/>
      <c r="B202" s="23"/>
      <c r="C202" s="23"/>
      <c r="G202" s="23"/>
      <c r="K202" s="23"/>
      <c r="L202" s="23"/>
      <c r="M202" s="23"/>
      <c r="N202" s="23"/>
      <c r="O202" s="23"/>
      <c r="P202" s="23"/>
      <c r="Q202" s="23"/>
      <c r="R202" s="23"/>
      <c r="S202" s="23"/>
      <c r="T202" s="24"/>
      <c r="U202" s="24"/>
    </row>
    <row r="203" ht="15.75" customHeight="1">
      <c r="A203" s="23"/>
      <c r="B203" s="23"/>
      <c r="C203" s="23"/>
      <c r="G203" s="23"/>
      <c r="K203" s="23"/>
      <c r="L203" s="23"/>
      <c r="M203" s="23"/>
      <c r="N203" s="23"/>
      <c r="O203" s="23"/>
      <c r="P203" s="23"/>
      <c r="Q203" s="23"/>
      <c r="R203" s="23"/>
      <c r="S203" s="23"/>
      <c r="T203" s="24"/>
      <c r="U203" s="24"/>
    </row>
    <row r="204" ht="15.75" customHeight="1">
      <c r="A204" s="45"/>
      <c r="B204" s="45"/>
      <c r="C204" s="23"/>
      <c r="D204" s="45"/>
      <c r="E204" s="45"/>
      <c r="F204" s="45"/>
      <c r="G204" s="23"/>
      <c r="H204" s="45"/>
      <c r="I204" s="45"/>
      <c r="J204" s="45"/>
      <c r="K204" s="23"/>
      <c r="L204" s="23"/>
      <c r="M204" s="45"/>
      <c r="N204" s="45"/>
      <c r="O204" s="45"/>
      <c r="P204" s="45"/>
      <c r="Q204" s="45"/>
      <c r="R204" s="45"/>
      <c r="S204" s="45"/>
      <c r="T204" s="46"/>
      <c r="U204" s="24"/>
      <c r="V204" s="45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V$204"/>
  <mergeCells count="3">
    <mergeCell ref="A1:V1"/>
    <mergeCell ref="A2:V2"/>
    <mergeCell ref="A3:V3"/>
  </mergeCells>
  <conditionalFormatting sqref="Q5:Q204">
    <cfRule type="cellIs" dxfId="2" priority="1" stopIfTrue="1" operator="equal">
      <formula>"уточняется"</formula>
    </cfRule>
  </conditionalFormatting>
  <conditionalFormatting sqref="Q5:Q204">
    <cfRule type="cellIs" dxfId="1" priority="2" stopIfTrue="1" operator="equal">
      <formula>"не исполняется"</formula>
    </cfRule>
  </conditionalFormatting>
  <conditionalFormatting sqref="Q5:Q204">
    <cfRule type="cellIs" dxfId="4" priority="3" stopIfTrue="1" operator="equal">
      <formula>"исполняется"</formula>
    </cfRule>
  </conditionalFormatting>
  <conditionalFormatting sqref="R5:R204">
    <cfRule type="cellIs" dxfId="0" priority="4" stopIfTrue="1" operator="equal">
      <formula>"неизвестно"</formula>
    </cfRule>
  </conditionalFormatting>
  <conditionalFormatting sqref="R5:R204">
    <cfRule type="cellIs" dxfId="1" priority="5" stopIfTrue="1" operator="equal">
      <formula>"конфликт"</formula>
    </cfRule>
  </conditionalFormatting>
  <conditionalFormatting sqref="R5:R204">
    <cfRule type="cellIs" dxfId="2" priority="6" stopIfTrue="1" operator="equal">
      <formula>"гипотеза"</formula>
    </cfRule>
  </conditionalFormatting>
  <conditionalFormatting sqref="R5:R204">
    <cfRule type="cellIs" dxfId="3" priority="7" stopIfTrue="1" operator="equal">
      <formula>"кандидат"</formula>
    </cfRule>
  </conditionalFormatting>
  <conditionalFormatting sqref="R5:R204">
    <cfRule type="cellIs" dxfId="4" priority="8" stopIfTrue="1" operator="equal">
      <formula>"принято"</formula>
    </cfRule>
  </conditionalFormatting>
  <dataValidations>
    <dataValidation type="list" allowBlank="1" showInputMessage="1" showErrorMessage="1" prompt="Конечное состояние" sqref="L5:L204">
      <formula1>'Система'!$AB$33:$AB$332</formula1>
    </dataValidation>
    <dataValidation type="list" allowBlank="1" showInputMessage="1" showErrorMessage="1" prompt="Производимый продукт" sqref="N5:N204">
      <formula1>'Система'!$X$33:$X$232</formula1>
    </dataValidation>
    <dataValidation type="list" allowBlank="1" showInputMessage="1" showErrorMessage="1" prompt="Объект работы" sqref="G5:G204">
      <formula1>'Система'!$AA$33:$AA$232</formula1>
    </dataValidation>
    <dataValidation type="list" allowBlank="1" showInputMessage="1" showErrorMessage="1" prompt="Производственная система" sqref="B5:B204">
      <formula1>'Система'!$W$33:$W$232</formula1>
    </dataValidation>
    <dataValidation type="list" allowBlank="1" showInputMessage="1" showErrorMessage="1" prompt="Начальное состояние" sqref="K5:K204">
      <formula1>'Система'!$AB$33:$AB$332</formula1>
    </dataValidation>
    <dataValidation type="list" allowBlank="1" showInputMessage="1" showErrorMessage="1" prompt="Версия" sqref="P5:P204">
      <formula1>'Система'!$AE$33:$AE$132</formula1>
    </dataValidation>
    <dataValidation type="list" allowBlank="1" showInputMessage="1" showErrorMessage="1" prompt="Статус исполнения" sqref="Q5:Q204">
      <formula1>'Система'!$C$33:$C$36</formula1>
    </dataValidation>
    <dataValidation type="list" allowBlank="1" showInputMessage="1" showErrorMessage="1" prompt="Родительский процесс" sqref="C5:C204">
      <formula1>'Система'!$Y$33:$Y$232</formula1>
    </dataValidation>
    <dataValidation type="list" allowBlank="1" showInputMessage="1" showErrorMessage="1" prompt="Слой модели" sqref="O5:O204">
      <formula1>'Система'!$B$33:$B$34</formula1>
    </dataValidation>
    <dataValidation type="custom" allowBlank="1" showDropDown="1" showInputMessage="1" showErrorMessage="1" prompt="Стабильный ID формата prc-..." sqref="A5:A204">
      <formula1>OR(A5="",REGEXMATCH(A5,"^prc-[A-Za-z0-9._-]+$"))</formula1>
    </dataValidation>
    <dataValidation type="list" allowBlank="1" showInputMessage="1" showErrorMessage="1" prompt="Статус знания" sqref="R5:R204">
      <formula1>'Система'!$A$33:$A$38</formula1>
    </dataValidation>
    <dataValidation type="list" allowBlank="1" showInputMessage="1" showErrorMessage="1" prompt="Источник" sqref="S5:S204">
      <formula1>'Система'!$AF$33:$AF$232</formula1>
    </dataValidation>
    <dataValidation type="list" allowBlank="1" showInputMessage="1" showErrorMessage="1" prompt="Ответственная позиция" sqref="M5:M204">
      <formula1>'Система'!$AC$33:$AC$232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5.0"/>
    <col customWidth="1" min="3" max="3" width="20.0"/>
    <col customWidth="1" min="4" max="4" width="15.0"/>
    <col customWidth="1" min="5" max="7" width="31.13"/>
    <col customWidth="1" min="8" max="10" width="15.0"/>
    <col customWidth="1" min="11" max="11" width="20.0"/>
    <col customWidth="1" min="12" max="16" width="15.0"/>
    <col customWidth="1" min="17" max="18" width="12.25"/>
    <col customWidth="1" min="19" max="19" width="31.13"/>
    <col customWidth="1" min="20" max="22" width="18.25"/>
    <col customWidth="1" min="23" max="23" width="23.88"/>
    <col customWidth="1" min="24" max="24" width="15.13"/>
    <col customWidth="1" min="25" max="25" width="12.0"/>
    <col customWidth="1" min="26" max="26" width="19.5"/>
  </cols>
  <sheetData>
    <row r="1" ht="25.5" customHeight="1">
      <c r="A1" s="1" t="s">
        <v>547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" t="s">
        <v>548</v>
      </c>
    </row>
    <row r="3" ht="19.5" customHeight="1">
      <c r="A3" s="7" t="s">
        <v>8</v>
      </c>
    </row>
    <row r="4" ht="39.0" customHeight="1">
      <c r="A4" s="10" t="s">
        <v>549</v>
      </c>
      <c r="B4" s="10" t="s">
        <v>550</v>
      </c>
      <c r="C4" s="10" t="s">
        <v>551</v>
      </c>
      <c r="D4" s="10" t="s">
        <v>552</v>
      </c>
      <c r="E4" s="13" t="s">
        <v>553</v>
      </c>
      <c r="F4" s="10" t="s">
        <v>554</v>
      </c>
      <c r="G4" s="10" t="s">
        <v>555</v>
      </c>
      <c r="H4" s="10" t="s">
        <v>556</v>
      </c>
      <c r="I4" s="10" t="s">
        <v>557</v>
      </c>
      <c r="J4" s="13" t="s">
        <v>558</v>
      </c>
      <c r="K4" s="13" t="s">
        <v>559</v>
      </c>
      <c r="L4" s="10" t="s">
        <v>438</v>
      </c>
      <c r="M4" s="10" t="s">
        <v>545</v>
      </c>
      <c r="N4" s="10" t="s">
        <v>546</v>
      </c>
      <c r="O4" s="10" t="s">
        <v>36</v>
      </c>
      <c r="P4" s="10" t="s">
        <v>38</v>
      </c>
      <c r="Q4" s="10" t="s">
        <v>40</v>
      </c>
      <c r="R4" s="13" t="s">
        <v>44</v>
      </c>
      <c r="S4" s="13" t="s">
        <v>52</v>
      </c>
      <c r="T4" s="47" t="s">
        <v>560</v>
      </c>
      <c r="U4" s="47" t="s">
        <v>561</v>
      </c>
      <c r="V4" s="47" t="s">
        <v>562</v>
      </c>
      <c r="W4" s="47" t="s">
        <v>563</v>
      </c>
      <c r="X4" s="48" t="s">
        <v>564</v>
      </c>
      <c r="Y4" s="47" t="s">
        <v>565</v>
      </c>
      <c r="Z4" s="47" t="s">
        <v>566</v>
      </c>
    </row>
    <row r="5">
      <c r="A5" s="23"/>
      <c r="B5" s="23"/>
      <c r="D5" s="23"/>
      <c r="H5" s="23"/>
      <c r="I5" s="23"/>
      <c r="J5" s="23"/>
      <c r="L5" s="23"/>
      <c r="M5" s="23"/>
      <c r="N5" s="23"/>
      <c r="O5" s="23"/>
      <c r="P5" s="23"/>
      <c r="Q5" s="24"/>
      <c r="R5" s="24"/>
      <c r="T5" s="23"/>
      <c r="U5" s="23"/>
      <c r="V5" s="23"/>
      <c r="X5" s="23"/>
      <c r="Y5" s="23"/>
      <c r="Z5" s="23"/>
    </row>
    <row r="6">
      <c r="A6" s="23"/>
      <c r="B6" s="23"/>
      <c r="D6" s="23"/>
      <c r="H6" s="23"/>
      <c r="I6" s="23"/>
      <c r="J6" s="23"/>
      <c r="L6" s="23"/>
      <c r="M6" s="23"/>
      <c r="N6" s="23"/>
      <c r="O6" s="23"/>
      <c r="P6" s="23"/>
      <c r="Q6" s="24"/>
      <c r="R6" s="24"/>
      <c r="T6" s="23"/>
      <c r="U6" s="23"/>
      <c r="V6" s="23"/>
      <c r="X6" s="23"/>
      <c r="Y6" s="23"/>
      <c r="Z6" s="23"/>
    </row>
    <row r="7">
      <c r="A7" s="23"/>
      <c r="B7" s="23"/>
      <c r="D7" s="23"/>
      <c r="H7" s="23"/>
      <c r="I7" s="23"/>
      <c r="J7" s="23"/>
      <c r="L7" s="23"/>
      <c r="M7" s="23"/>
      <c r="N7" s="23"/>
      <c r="O7" s="23"/>
      <c r="P7" s="23"/>
      <c r="Q7" s="24"/>
      <c r="R7" s="24"/>
      <c r="T7" s="23"/>
      <c r="U7" s="23"/>
      <c r="V7" s="23"/>
      <c r="X7" s="23"/>
      <c r="Y7" s="23"/>
      <c r="Z7" s="23"/>
    </row>
    <row r="8">
      <c r="A8" s="23"/>
      <c r="B8" s="23"/>
      <c r="D8" s="23"/>
      <c r="H8" s="23"/>
      <c r="I8" s="23"/>
      <c r="J8" s="23"/>
      <c r="L8" s="23"/>
      <c r="M8" s="23"/>
      <c r="N8" s="23"/>
      <c r="O8" s="23"/>
      <c r="P8" s="23"/>
      <c r="Q8" s="24"/>
      <c r="R8" s="24"/>
      <c r="T8" s="23"/>
      <c r="U8" s="23"/>
      <c r="V8" s="23"/>
      <c r="X8" s="23"/>
      <c r="Y8" s="23"/>
      <c r="Z8" s="23"/>
    </row>
    <row r="9">
      <c r="A9" s="23"/>
      <c r="B9" s="23"/>
      <c r="D9" s="23"/>
      <c r="H9" s="23"/>
      <c r="I9" s="23"/>
      <c r="J9" s="23"/>
      <c r="L9" s="23"/>
      <c r="M9" s="23"/>
      <c r="N9" s="23"/>
      <c r="O9" s="23"/>
      <c r="P9" s="23"/>
      <c r="Q9" s="24"/>
      <c r="R9" s="24"/>
      <c r="T9" s="23"/>
      <c r="U9" s="23"/>
      <c r="V9" s="23"/>
      <c r="X9" s="23"/>
      <c r="Y9" s="23"/>
      <c r="Z9" s="23"/>
    </row>
    <row r="10">
      <c r="A10" s="23"/>
      <c r="B10" s="23"/>
      <c r="D10" s="23"/>
      <c r="H10" s="23"/>
      <c r="I10" s="23"/>
      <c r="J10" s="23"/>
      <c r="L10" s="23"/>
      <c r="M10" s="23"/>
      <c r="N10" s="23"/>
      <c r="O10" s="23"/>
      <c r="P10" s="23"/>
      <c r="Q10" s="24"/>
      <c r="R10" s="24"/>
      <c r="T10" s="23"/>
      <c r="U10" s="23"/>
      <c r="V10" s="23"/>
      <c r="X10" s="23"/>
      <c r="Y10" s="23"/>
      <c r="Z10" s="23"/>
    </row>
    <row r="11">
      <c r="A11" s="23"/>
      <c r="B11" s="23"/>
      <c r="D11" s="23"/>
      <c r="H11" s="23"/>
      <c r="I11" s="23"/>
      <c r="J11" s="23"/>
      <c r="L11" s="23"/>
      <c r="M11" s="23"/>
      <c r="N11" s="23"/>
      <c r="O11" s="23"/>
      <c r="P11" s="23"/>
      <c r="Q11" s="24"/>
      <c r="R11" s="24"/>
      <c r="T11" s="23"/>
      <c r="U11" s="23"/>
      <c r="V11" s="23"/>
      <c r="X11" s="23"/>
      <c r="Y11" s="23"/>
      <c r="Z11" s="23"/>
    </row>
    <row r="12">
      <c r="A12" s="23"/>
      <c r="B12" s="23"/>
      <c r="D12" s="23"/>
      <c r="H12" s="23"/>
      <c r="I12" s="23"/>
      <c r="J12" s="23"/>
      <c r="L12" s="23"/>
      <c r="M12" s="23"/>
      <c r="N12" s="23"/>
      <c r="O12" s="23"/>
      <c r="P12" s="23"/>
      <c r="Q12" s="24"/>
      <c r="R12" s="24"/>
      <c r="T12" s="23"/>
      <c r="U12" s="23"/>
      <c r="V12" s="23"/>
      <c r="X12" s="23"/>
      <c r="Y12" s="23"/>
      <c r="Z12" s="23"/>
    </row>
    <row r="13">
      <c r="A13" s="23"/>
      <c r="B13" s="23"/>
      <c r="D13" s="23"/>
      <c r="H13" s="23"/>
      <c r="I13" s="23"/>
      <c r="J13" s="23"/>
      <c r="L13" s="23"/>
      <c r="M13" s="23"/>
      <c r="N13" s="23"/>
      <c r="O13" s="23"/>
      <c r="P13" s="23"/>
      <c r="Q13" s="24"/>
      <c r="R13" s="24"/>
      <c r="T13" s="23"/>
      <c r="U13" s="23"/>
      <c r="V13" s="23"/>
      <c r="X13" s="23"/>
      <c r="Y13" s="23"/>
      <c r="Z13" s="23"/>
    </row>
    <row r="14">
      <c r="A14" s="23"/>
      <c r="B14" s="23"/>
      <c r="D14" s="23"/>
      <c r="H14" s="23"/>
      <c r="I14" s="23"/>
      <c r="J14" s="23"/>
      <c r="L14" s="23"/>
      <c r="M14" s="23"/>
      <c r="N14" s="23"/>
      <c r="O14" s="23"/>
      <c r="P14" s="23"/>
      <c r="Q14" s="24"/>
      <c r="R14" s="24"/>
      <c r="T14" s="23"/>
      <c r="U14" s="23"/>
      <c r="V14" s="23"/>
      <c r="X14" s="23"/>
      <c r="Y14" s="23"/>
      <c r="Z14" s="23"/>
    </row>
    <row r="15">
      <c r="A15" s="23"/>
      <c r="B15" s="23"/>
      <c r="D15" s="23"/>
      <c r="H15" s="23"/>
      <c r="I15" s="23"/>
      <c r="J15" s="23"/>
      <c r="L15" s="23"/>
      <c r="M15" s="23"/>
      <c r="N15" s="23"/>
      <c r="O15" s="23"/>
      <c r="P15" s="23"/>
      <c r="Q15" s="24"/>
      <c r="R15" s="24"/>
      <c r="T15" s="23"/>
      <c r="U15" s="23"/>
      <c r="V15" s="23"/>
      <c r="X15" s="23"/>
      <c r="Y15" s="23"/>
      <c r="Z15" s="23"/>
    </row>
    <row r="16">
      <c r="A16" s="23"/>
      <c r="B16" s="23"/>
      <c r="D16" s="23"/>
      <c r="H16" s="23"/>
      <c r="I16" s="23"/>
      <c r="J16" s="23"/>
      <c r="L16" s="23"/>
      <c r="M16" s="23"/>
      <c r="N16" s="23"/>
      <c r="O16" s="23"/>
      <c r="P16" s="23"/>
      <c r="Q16" s="24"/>
      <c r="R16" s="24"/>
      <c r="T16" s="23"/>
      <c r="U16" s="23"/>
      <c r="V16" s="23"/>
      <c r="X16" s="23"/>
      <c r="Y16" s="23"/>
      <c r="Z16" s="23"/>
    </row>
    <row r="17">
      <c r="A17" s="23"/>
      <c r="B17" s="23"/>
      <c r="D17" s="23"/>
      <c r="H17" s="23"/>
      <c r="I17" s="23"/>
      <c r="J17" s="23"/>
      <c r="L17" s="23"/>
      <c r="M17" s="23"/>
      <c r="N17" s="23"/>
      <c r="O17" s="23"/>
      <c r="P17" s="23"/>
      <c r="Q17" s="24"/>
      <c r="R17" s="24"/>
      <c r="T17" s="23"/>
      <c r="U17" s="23"/>
      <c r="V17" s="23"/>
      <c r="X17" s="23"/>
      <c r="Y17" s="23"/>
      <c r="Z17" s="23"/>
    </row>
    <row r="18">
      <c r="A18" s="23"/>
      <c r="B18" s="23"/>
      <c r="D18" s="23"/>
      <c r="H18" s="23"/>
      <c r="I18" s="23"/>
      <c r="J18" s="23"/>
      <c r="L18" s="23"/>
      <c r="M18" s="23"/>
      <c r="N18" s="23"/>
      <c r="O18" s="23"/>
      <c r="P18" s="23"/>
      <c r="Q18" s="24"/>
      <c r="R18" s="24"/>
      <c r="T18" s="23"/>
      <c r="U18" s="23"/>
      <c r="V18" s="23"/>
      <c r="X18" s="23"/>
      <c r="Y18" s="23"/>
      <c r="Z18" s="23"/>
    </row>
    <row r="19">
      <c r="A19" s="23"/>
      <c r="B19" s="23"/>
      <c r="D19" s="23"/>
      <c r="H19" s="23"/>
      <c r="I19" s="23"/>
      <c r="J19" s="23"/>
      <c r="L19" s="23"/>
      <c r="M19" s="23"/>
      <c r="N19" s="23"/>
      <c r="O19" s="23"/>
      <c r="P19" s="23"/>
      <c r="Q19" s="24"/>
      <c r="R19" s="24"/>
      <c r="T19" s="23"/>
      <c r="U19" s="23"/>
      <c r="V19" s="23"/>
      <c r="X19" s="23"/>
      <c r="Y19" s="23"/>
      <c r="Z19" s="23"/>
    </row>
    <row r="20">
      <c r="A20" s="23"/>
      <c r="B20" s="23"/>
      <c r="D20" s="23"/>
      <c r="H20" s="23"/>
      <c r="I20" s="23"/>
      <c r="J20" s="23"/>
      <c r="L20" s="23"/>
      <c r="M20" s="23"/>
      <c r="N20" s="23"/>
      <c r="O20" s="23"/>
      <c r="P20" s="23"/>
      <c r="Q20" s="24"/>
      <c r="R20" s="24"/>
      <c r="T20" s="23"/>
      <c r="U20" s="23"/>
      <c r="V20" s="23"/>
      <c r="X20" s="23"/>
      <c r="Y20" s="23"/>
      <c r="Z20" s="23"/>
    </row>
    <row r="21" ht="15.75" customHeight="1">
      <c r="A21" s="23"/>
      <c r="B21" s="23"/>
      <c r="D21" s="23"/>
      <c r="H21" s="23"/>
      <c r="I21" s="23"/>
      <c r="J21" s="23"/>
      <c r="L21" s="23"/>
      <c r="M21" s="23"/>
      <c r="N21" s="23"/>
      <c r="O21" s="23"/>
      <c r="P21" s="23"/>
      <c r="Q21" s="24"/>
      <c r="R21" s="24"/>
      <c r="T21" s="23"/>
      <c r="U21" s="23"/>
      <c r="V21" s="23"/>
      <c r="X21" s="23"/>
      <c r="Y21" s="23"/>
      <c r="Z21" s="23"/>
    </row>
    <row r="22" ht="15.75" customHeight="1">
      <c r="A22" s="23"/>
      <c r="B22" s="23"/>
      <c r="D22" s="23"/>
      <c r="H22" s="23"/>
      <c r="I22" s="23"/>
      <c r="J22" s="23"/>
      <c r="L22" s="23"/>
      <c r="M22" s="23"/>
      <c r="N22" s="23"/>
      <c r="O22" s="23"/>
      <c r="P22" s="23"/>
      <c r="Q22" s="24"/>
      <c r="R22" s="24"/>
      <c r="T22" s="23"/>
      <c r="U22" s="23"/>
      <c r="V22" s="23"/>
      <c r="X22" s="23"/>
      <c r="Y22" s="23"/>
      <c r="Z22" s="23"/>
    </row>
    <row r="23" ht="15.75" customHeight="1">
      <c r="A23" s="23"/>
      <c r="B23" s="23"/>
      <c r="D23" s="23"/>
      <c r="H23" s="23"/>
      <c r="I23" s="23"/>
      <c r="J23" s="23"/>
      <c r="L23" s="23"/>
      <c r="M23" s="23"/>
      <c r="N23" s="23"/>
      <c r="O23" s="23"/>
      <c r="P23" s="23"/>
      <c r="Q23" s="24"/>
      <c r="R23" s="24"/>
      <c r="T23" s="23"/>
      <c r="U23" s="23"/>
      <c r="V23" s="23"/>
      <c r="X23" s="23"/>
      <c r="Y23" s="23"/>
      <c r="Z23" s="23"/>
    </row>
    <row r="24" ht="15.75" customHeight="1">
      <c r="A24" s="23"/>
      <c r="B24" s="23"/>
      <c r="D24" s="23"/>
      <c r="H24" s="23"/>
      <c r="I24" s="23"/>
      <c r="J24" s="23"/>
      <c r="L24" s="23"/>
      <c r="M24" s="23"/>
      <c r="N24" s="23"/>
      <c r="O24" s="23"/>
      <c r="P24" s="23"/>
      <c r="Q24" s="24"/>
      <c r="R24" s="24"/>
      <c r="T24" s="23"/>
      <c r="U24" s="23"/>
      <c r="V24" s="23"/>
      <c r="X24" s="23"/>
      <c r="Y24" s="23"/>
      <c r="Z24" s="23"/>
    </row>
    <row r="25" ht="15.75" customHeight="1">
      <c r="A25" s="23"/>
      <c r="B25" s="23"/>
      <c r="D25" s="23"/>
      <c r="H25" s="23"/>
      <c r="I25" s="23"/>
      <c r="J25" s="23"/>
      <c r="L25" s="23"/>
      <c r="M25" s="23"/>
      <c r="N25" s="23"/>
      <c r="O25" s="23"/>
      <c r="P25" s="23"/>
      <c r="Q25" s="24"/>
      <c r="R25" s="24"/>
      <c r="T25" s="23"/>
      <c r="U25" s="23"/>
      <c r="V25" s="23"/>
      <c r="X25" s="23"/>
      <c r="Y25" s="23"/>
      <c r="Z25" s="23"/>
    </row>
    <row r="26" ht="15.75" customHeight="1">
      <c r="A26" s="23"/>
      <c r="B26" s="23"/>
      <c r="D26" s="23"/>
      <c r="H26" s="23"/>
      <c r="I26" s="23"/>
      <c r="J26" s="23"/>
      <c r="L26" s="23"/>
      <c r="M26" s="23"/>
      <c r="N26" s="23"/>
      <c r="O26" s="23"/>
      <c r="P26" s="23"/>
      <c r="Q26" s="24"/>
      <c r="R26" s="24"/>
      <c r="T26" s="23"/>
      <c r="U26" s="23"/>
      <c r="V26" s="23"/>
      <c r="X26" s="23"/>
      <c r="Y26" s="23"/>
      <c r="Z26" s="23"/>
    </row>
    <row r="27" ht="15.75" customHeight="1">
      <c r="A27" s="23"/>
      <c r="B27" s="23"/>
      <c r="D27" s="23"/>
      <c r="H27" s="23"/>
      <c r="I27" s="23"/>
      <c r="J27" s="23"/>
      <c r="L27" s="23"/>
      <c r="M27" s="23"/>
      <c r="N27" s="23"/>
      <c r="O27" s="23"/>
      <c r="P27" s="23"/>
      <c r="Q27" s="24"/>
      <c r="R27" s="24"/>
      <c r="T27" s="23"/>
      <c r="U27" s="23"/>
      <c r="V27" s="23"/>
      <c r="X27" s="23"/>
      <c r="Y27" s="23"/>
      <c r="Z27" s="23"/>
    </row>
    <row r="28" ht="15.75" customHeight="1">
      <c r="A28" s="23"/>
      <c r="B28" s="23"/>
      <c r="D28" s="23"/>
      <c r="H28" s="23"/>
      <c r="I28" s="23"/>
      <c r="J28" s="23"/>
      <c r="L28" s="23"/>
      <c r="M28" s="23"/>
      <c r="N28" s="23"/>
      <c r="O28" s="23"/>
      <c r="P28" s="23"/>
      <c r="Q28" s="24"/>
      <c r="R28" s="24"/>
      <c r="T28" s="23"/>
      <c r="U28" s="23"/>
      <c r="V28" s="23"/>
      <c r="X28" s="23"/>
      <c r="Y28" s="23"/>
      <c r="Z28" s="23"/>
    </row>
    <row r="29" ht="15.75" customHeight="1">
      <c r="A29" s="23"/>
      <c r="B29" s="23"/>
      <c r="D29" s="23"/>
      <c r="H29" s="23"/>
      <c r="I29" s="23"/>
      <c r="J29" s="23"/>
      <c r="L29" s="23"/>
      <c r="M29" s="23"/>
      <c r="N29" s="23"/>
      <c r="O29" s="23"/>
      <c r="P29" s="23"/>
      <c r="Q29" s="24"/>
      <c r="R29" s="24"/>
      <c r="T29" s="23"/>
      <c r="U29" s="23"/>
      <c r="V29" s="23"/>
      <c r="X29" s="23"/>
      <c r="Y29" s="23"/>
      <c r="Z29" s="23"/>
    </row>
    <row r="30" ht="15.75" customHeight="1">
      <c r="A30" s="23"/>
      <c r="B30" s="23"/>
      <c r="D30" s="23"/>
      <c r="H30" s="23"/>
      <c r="I30" s="23"/>
      <c r="J30" s="23"/>
      <c r="L30" s="23"/>
      <c r="M30" s="23"/>
      <c r="N30" s="23"/>
      <c r="O30" s="23"/>
      <c r="P30" s="23"/>
      <c r="Q30" s="24"/>
      <c r="R30" s="24"/>
      <c r="T30" s="23"/>
      <c r="U30" s="23"/>
      <c r="V30" s="23"/>
      <c r="X30" s="23"/>
      <c r="Y30" s="23"/>
      <c r="Z30" s="23"/>
    </row>
    <row r="31" ht="15.75" customHeight="1">
      <c r="A31" s="23"/>
      <c r="B31" s="23"/>
      <c r="D31" s="23"/>
      <c r="H31" s="23"/>
      <c r="I31" s="23"/>
      <c r="J31" s="23"/>
      <c r="L31" s="23"/>
      <c r="M31" s="23"/>
      <c r="N31" s="23"/>
      <c r="O31" s="23"/>
      <c r="P31" s="23"/>
      <c r="Q31" s="24"/>
      <c r="R31" s="24"/>
      <c r="T31" s="23"/>
      <c r="U31" s="23"/>
      <c r="V31" s="23"/>
      <c r="X31" s="23"/>
      <c r="Y31" s="23"/>
      <c r="Z31" s="23"/>
    </row>
    <row r="32" ht="15.75" customHeight="1">
      <c r="A32" s="23"/>
      <c r="B32" s="23"/>
      <c r="D32" s="23"/>
      <c r="H32" s="23"/>
      <c r="I32" s="23"/>
      <c r="J32" s="23"/>
      <c r="L32" s="23"/>
      <c r="M32" s="23"/>
      <c r="N32" s="23"/>
      <c r="O32" s="23"/>
      <c r="P32" s="23"/>
      <c r="Q32" s="24"/>
      <c r="R32" s="24"/>
      <c r="T32" s="23"/>
      <c r="U32" s="23"/>
      <c r="V32" s="23"/>
      <c r="X32" s="23"/>
      <c r="Y32" s="23"/>
      <c r="Z32" s="23"/>
    </row>
    <row r="33" ht="15.75" customHeight="1">
      <c r="A33" s="23"/>
      <c r="B33" s="23"/>
      <c r="D33" s="23"/>
      <c r="H33" s="23"/>
      <c r="I33" s="23"/>
      <c r="J33" s="23"/>
      <c r="L33" s="23"/>
      <c r="M33" s="23"/>
      <c r="N33" s="23"/>
      <c r="O33" s="23"/>
      <c r="P33" s="23"/>
      <c r="Q33" s="24"/>
      <c r="R33" s="24"/>
      <c r="T33" s="23"/>
      <c r="U33" s="23"/>
      <c r="V33" s="23"/>
      <c r="X33" s="23"/>
      <c r="Y33" s="23"/>
      <c r="Z33" s="23"/>
    </row>
    <row r="34" ht="15.75" customHeight="1">
      <c r="A34" s="23"/>
      <c r="B34" s="23"/>
      <c r="D34" s="23"/>
      <c r="H34" s="23"/>
      <c r="I34" s="23"/>
      <c r="J34" s="23"/>
      <c r="L34" s="23"/>
      <c r="M34" s="23"/>
      <c r="N34" s="23"/>
      <c r="O34" s="23"/>
      <c r="P34" s="23"/>
      <c r="Q34" s="24"/>
      <c r="R34" s="24"/>
      <c r="T34" s="23"/>
      <c r="U34" s="23"/>
      <c r="V34" s="23"/>
      <c r="X34" s="23"/>
      <c r="Y34" s="23"/>
      <c r="Z34" s="23"/>
    </row>
    <row r="35" ht="15.75" customHeight="1">
      <c r="A35" s="23"/>
      <c r="B35" s="23"/>
      <c r="D35" s="23"/>
      <c r="H35" s="23"/>
      <c r="I35" s="23"/>
      <c r="J35" s="23"/>
      <c r="L35" s="23"/>
      <c r="M35" s="23"/>
      <c r="N35" s="23"/>
      <c r="O35" s="23"/>
      <c r="P35" s="23"/>
      <c r="Q35" s="24"/>
      <c r="R35" s="24"/>
      <c r="T35" s="23"/>
      <c r="U35" s="23"/>
      <c r="V35" s="23"/>
      <c r="X35" s="23"/>
      <c r="Y35" s="23"/>
      <c r="Z35" s="23"/>
    </row>
    <row r="36" ht="15.75" customHeight="1">
      <c r="A36" s="23"/>
      <c r="B36" s="23"/>
      <c r="D36" s="23"/>
      <c r="H36" s="23"/>
      <c r="I36" s="23"/>
      <c r="J36" s="23"/>
      <c r="L36" s="23"/>
      <c r="M36" s="23"/>
      <c r="N36" s="23"/>
      <c r="O36" s="23"/>
      <c r="P36" s="23"/>
      <c r="Q36" s="24"/>
      <c r="R36" s="24"/>
      <c r="T36" s="23"/>
      <c r="U36" s="23"/>
      <c r="V36" s="23"/>
      <c r="X36" s="23"/>
      <c r="Y36" s="23"/>
      <c r="Z36" s="23"/>
    </row>
    <row r="37" ht="15.75" customHeight="1">
      <c r="A37" s="23"/>
      <c r="B37" s="23"/>
      <c r="D37" s="23"/>
      <c r="H37" s="23"/>
      <c r="I37" s="23"/>
      <c r="J37" s="23"/>
      <c r="L37" s="23"/>
      <c r="M37" s="23"/>
      <c r="N37" s="23"/>
      <c r="O37" s="23"/>
      <c r="P37" s="23"/>
      <c r="Q37" s="24"/>
      <c r="R37" s="24"/>
      <c r="T37" s="23"/>
      <c r="U37" s="23"/>
      <c r="V37" s="23"/>
      <c r="X37" s="23"/>
      <c r="Y37" s="23"/>
      <c r="Z37" s="23"/>
    </row>
    <row r="38" ht="15.75" customHeight="1">
      <c r="A38" s="23"/>
      <c r="B38" s="23"/>
      <c r="D38" s="23"/>
      <c r="H38" s="23"/>
      <c r="I38" s="23"/>
      <c r="J38" s="23"/>
      <c r="L38" s="23"/>
      <c r="M38" s="23"/>
      <c r="N38" s="23"/>
      <c r="O38" s="23"/>
      <c r="P38" s="23"/>
      <c r="Q38" s="24"/>
      <c r="R38" s="24"/>
      <c r="T38" s="23"/>
      <c r="U38" s="23"/>
      <c r="V38" s="23"/>
      <c r="X38" s="23"/>
      <c r="Y38" s="23"/>
      <c r="Z38" s="23"/>
    </row>
    <row r="39" ht="15.75" customHeight="1">
      <c r="A39" s="23"/>
      <c r="B39" s="23"/>
      <c r="D39" s="23"/>
      <c r="H39" s="23"/>
      <c r="I39" s="23"/>
      <c r="J39" s="23"/>
      <c r="L39" s="23"/>
      <c r="M39" s="23"/>
      <c r="N39" s="23"/>
      <c r="O39" s="23"/>
      <c r="P39" s="23"/>
      <c r="Q39" s="24"/>
      <c r="R39" s="24"/>
      <c r="T39" s="23"/>
      <c r="U39" s="23"/>
      <c r="V39" s="23"/>
      <c r="X39" s="23"/>
      <c r="Y39" s="23"/>
      <c r="Z39" s="23"/>
    </row>
    <row r="40" ht="15.75" customHeight="1">
      <c r="A40" s="23"/>
      <c r="B40" s="23"/>
      <c r="D40" s="23"/>
      <c r="H40" s="23"/>
      <c r="I40" s="23"/>
      <c r="J40" s="23"/>
      <c r="L40" s="23"/>
      <c r="M40" s="23"/>
      <c r="N40" s="23"/>
      <c r="O40" s="23"/>
      <c r="P40" s="23"/>
      <c r="Q40" s="24"/>
      <c r="R40" s="24"/>
      <c r="T40" s="23"/>
      <c r="U40" s="23"/>
      <c r="V40" s="23"/>
      <c r="X40" s="23"/>
      <c r="Y40" s="23"/>
      <c r="Z40" s="23"/>
    </row>
    <row r="41" ht="15.75" customHeight="1">
      <c r="A41" s="23"/>
      <c r="B41" s="23"/>
      <c r="D41" s="23"/>
      <c r="H41" s="23"/>
      <c r="I41" s="23"/>
      <c r="J41" s="23"/>
      <c r="L41" s="23"/>
      <c r="M41" s="23"/>
      <c r="N41" s="23"/>
      <c r="O41" s="23"/>
      <c r="P41" s="23"/>
      <c r="Q41" s="24"/>
      <c r="R41" s="24"/>
      <c r="T41" s="23"/>
      <c r="U41" s="23"/>
      <c r="V41" s="23"/>
      <c r="X41" s="23"/>
      <c r="Y41" s="23"/>
      <c r="Z41" s="23"/>
    </row>
    <row r="42" ht="15.75" customHeight="1">
      <c r="A42" s="23"/>
      <c r="B42" s="23"/>
      <c r="D42" s="23"/>
      <c r="H42" s="23"/>
      <c r="I42" s="23"/>
      <c r="J42" s="23"/>
      <c r="L42" s="23"/>
      <c r="M42" s="23"/>
      <c r="N42" s="23"/>
      <c r="O42" s="23"/>
      <c r="P42" s="23"/>
      <c r="Q42" s="24"/>
      <c r="R42" s="24"/>
      <c r="T42" s="23"/>
      <c r="U42" s="23"/>
      <c r="V42" s="23"/>
      <c r="X42" s="23"/>
      <c r="Y42" s="23"/>
      <c r="Z42" s="23"/>
    </row>
    <row r="43" ht="15.75" customHeight="1">
      <c r="A43" s="23"/>
      <c r="B43" s="23"/>
      <c r="D43" s="23"/>
      <c r="H43" s="23"/>
      <c r="I43" s="23"/>
      <c r="J43" s="23"/>
      <c r="L43" s="23"/>
      <c r="M43" s="23"/>
      <c r="N43" s="23"/>
      <c r="O43" s="23"/>
      <c r="P43" s="23"/>
      <c r="Q43" s="24"/>
      <c r="R43" s="24"/>
      <c r="T43" s="23"/>
      <c r="U43" s="23"/>
      <c r="V43" s="23"/>
      <c r="X43" s="23"/>
      <c r="Y43" s="23"/>
      <c r="Z43" s="23"/>
    </row>
    <row r="44" ht="15.75" customHeight="1">
      <c r="A44" s="23"/>
      <c r="B44" s="23"/>
      <c r="D44" s="23"/>
      <c r="H44" s="23"/>
      <c r="I44" s="23"/>
      <c r="J44" s="23"/>
      <c r="L44" s="23"/>
      <c r="M44" s="23"/>
      <c r="N44" s="23"/>
      <c r="O44" s="23"/>
      <c r="P44" s="23"/>
      <c r="Q44" s="24"/>
      <c r="R44" s="24"/>
      <c r="T44" s="23"/>
      <c r="U44" s="23"/>
      <c r="V44" s="23"/>
      <c r="X44" s="23"/>
      <c r="Y44" s="23"/>
      <c r="Z44" s="23"/>
    </row>
    <row r="45" ht="15.75" customHeight="1">
      <c r="A45" s="23"/>
      <c r="B45" s="23"/>
      <c r="D45" s="23"/>
      <c r="H45" s="23"/>
      <c r="I45" s="23"/>
      <c r="J45" s="23"/>
      <c r="L45" s="23"/>
      <c r="M45" s="23"/>
      <c r="N45" s="23"/>
      <c r="O45" s="23"/>
      <c r="P45" s="23"/>
      <c r="Q45" s="24"/>
      <c r="R45" s="24"/>
      <c r="T45" s="23"/>
      <c r="U45" s="23"/>
      <c r="V45" s="23"/>
      <c r="X45" s="23"/>
      <c r="Y45" s="23"/>
      <c r="Z45" s="23"/>
    </row>
    <row r="46" ht="15.75" customHeight="1">
      <c r="A46" s="23"/>
      <c r="B46" s="23"/>
      <c r="D46" s="23"/>
      <c r="H46" s="23"/>
      <c r="I46" s="23"/>
      <c r="J46" s="23"/>
      <c r="L46" s="23"/>
      <c r="M46" s="23"/>
      <c r="N46" s="23"/>
      <c r="O46" s="23"/>
      <c r="P46" s="23"/>
      <c r="Q46" s="24"/>
      <c r="R46" s="24"/>
      <c r="T46" s="23"/>
      <c r="U46" s="23"/>
      <c r="V46" s="23"/>
      <c r="X46" s="23"/>
      <c r="Y46" s="23"/>
      <c r="Z46" s="23"/>
    </row>
    <row r="47" ht="15.75" customHeight="1">
      <c r="A47" s="23"/>
      <c r="B47" s="23"/>
      <c r="D47" s="23"/>
      <c r="H47" s="23"/>
      <c r="I47" s="23"/>
      <c r="J47" s="23"/>
      <c r="L47" s="23"/>
      <c r="M47" s="23"/>
      <c r="N47" s="23"/>
      <c r="O47" s="23"/>
      <c r="P47" s="23"/>
      <c r="Q47" s="24"/>
      <c r="R47" s="24"/>
      <c r="T47" s="23"/>
      <c r="U47" s="23"/>
      <c r="V47" s="23"/>
      <c r="X47" s="23"/>
      <c r="Y47" s="23"/>
      <c r="Z47" s="23"/>
    </row>
    <row r="48" ht="15.75" customHeight="1">
      <c r="A48" s="23"/>
      <c r="B48" s="23"/>
      <c r="D48" s="23"/>
      <c r="H48" s="23"/>
      <c r="I48" s="23"/>
      <c r="J48" s="23"/>
      <c r="L48" s="23"/>
      <c r="M48" s="23"/>
      <c r="N48" s="23"/>
      <c r="O48" s="23"/>
      <c r="P48" s="23"/>
      <c r="Q48" s="24"/>
      <c r="R48" s="24"/>
      <c r="T48" s="23"/>
      <c r="U48" s="23"/>
      <c r="V48" s="23"/>
      <c r="X48" s="23"/>
      <c r="Y48" s="23"/>
      <c r="Z48" s="23"/>
    </row>
    <row r="49" ht="15.75" customHeight="1">
      <c r="A49" s="23"/>
      <c r="B49" s="23"/>
      <c r="D49" s="23"/>
      <c r="H49" s="23"/>
      <c r="I49" s="23"/>
      <c r="J49" s="23"/>
      <c r="L49" s="23"/>
      <c r="M49" s="23"/>
      <c r="N49" s="23"/>
      <c r="O49" s="23"/>
      <c r="P49" s="23"/>
      <c r="Q49" s="24"/>
      <c r="R49" s="24"/>
      <c r="T49" s="23"/>
      <c r="U49" s="23"/>
      <c r="V49" s="23"/>
      <c r="X49" s="23"/>
      <c r="Y49" s="23"/>
      <c r="Z49" s="23"/>
    </row>
    <row r="50" ht="15.75" customHeight="1">
      <c r="A50" s="23"/>
      <c r="B50" s="23"/>
      <c r="D50" s="23"/>
      <c r="H50" s="23"/>
      <c r="I50" s="23"/>
      <c r="J50" s="23"/>
      <c r="L50" s="23"/>
      <c r="M50" s="23"/>
      <c r="N50" s="23"/>
      <c r="O50" s="23"/>
      <c r="P50" s="23"/>
      <c r="Q50" s="24"/>
      <c r="R50" s="24"/>
      <c r="T50" s="23"/>
      <c r="U50" s="23"/>
      <c r="V50" s="23"/>
      <c r="X50" s="23"/>
      <c r="Y50" s="23"/>
      <c r="Z50" s="23"/>
    </row>
    <row r="51" ht="15.75" customHeight="1">
      <c r="A51" s="23"/>
      <c r="B51" s="23"/>
      <c r="D51" s="23"/>
      <c r="H51" s="23"/>
      <c r="I51" s="23"/>
      <c r="J51" s="23"/>
      <c r="L51" s="23"/>
      <c r="M51" s="23"/>
      <c r="N51" s="23"/>
      <c r="O51" s="23"/>
      <c r="P51" s="23"/>
      <c r="Q51" s="24"/>
      <c r="R51" s="24"/>
      <c r="T51" s="23"/>
      <c r="U51" s="23"/>
      <c r="V51" s="23"/>
      <c r="X51" s="23"/>
      <c r="Y51" s="23"/>
      <c r="Z51" s="23"/>
    </row>
    <row r="52" ht="15.75" customHeight="1">
      <c r="A52" s="23"/>
      <c r="B52" s="23"/>
      <c r="D52" s="23"/>
      <c r="H52" s="23"/>
      <c r="I52" s="23"/>
      <c r="J52" s="23"/>
      <c r="L52" s="23"/>
      <c r="M52" s="23"/>
      <c r="N52" s="23"/>
      <c r="O52" s="23"/>
      <c r="P52" s="23"/>
      <c r="Q52" s="24"/>
      <c r="R52" s="24"/>
      <c r="T52" s="23"/>
      <c r="U52" s="23"/>
      <c r="V52" s="23"/>
      <c r="X52" s="23"/>
      <c r="Y52" s="23"/>
      <c r="Z52" s="23"/>
    </row>
    <row r="53" ht="15.75" customHeight="1">
      <c r="A53" s="23"/>
      <c r="B53" s="23"/>
      <c r="D53" s="23"/>
      <c r="H53" s="23"/>
      <c r="I53" s="23"/>
      <c r="J53" s="23"/>
      <c r="L53" s="23"/>
      <c r="M53" s="23"/>
      <c r="N53" s="23"/>
      <c r="O53" s="23"/>
      <c r="P53" s="23"/>
      <c r="Q53" s="24"/>
      <c r="R53" s="24"/>
      <c r="T53" s="23"/>
      <c r="U53" s="23"/>
      <c r="V53" s="23"/>
      <c r="X53" s="23"/>
      <c r="Y53" s="23"/>
      <c r="Z53" s="23"/>
    </row>
    <row r="54" ht="15.75" customHeight="1">
      <c r="A54" s="23"/>
      <c r="B54" s="23"/>
      <c r="D54" s="23"/>
      <c r="H54" s="23"/>
      <c r="I54" s="23"/>
      <c r="J54" s="23"/>
      <c r="L54" s="23"/>
      <c r="M54" s="23"/>
      <c r="N54" s="23"/>
      <c r="O54" s="23"/>
      <c r="P54" s="23"/>
      <c r="Q54" s="24"/>
      <c r="R54" s="24"/>
      <c r="T54" s="23"/>
      <c r="U54" s="23"/>
      <c r="V54" s="23"/>
      <c r="X54" s="23"/>
      <c r="Y54" s="23"/>
      <c r="Z54" s="23"/>
    </row>
    <row r="55" ht="15.75" customHeight="1">
      <c r="A55" s="23"/>
      <c r="B55" s="23"/>
      <c r="D55" s="23"/>
      <c r="H55" s="23"/>
      <c r="I55" s="23"/>
      <c r="J55" s="23"/>
      <c r="L55" s="23"/>
      <c r="M55" s="23"/>
      <c r="N55" s="23"/>
      <c r="O55" s="23"/>
      <c r="P55" s="23"/>
      <c r="Q55" s="24"/>
      <c r="R55" s="24"/>
      <c r="T55" s="23"/>
      <c r="U55" s="23"/>
      <c r="V55" s="23"/>
      <c r="X55" s="23"/>
      <c r="Y55" s="23"/>
      <c r="Z55" s="23"/>
    </row>
    <row r="56" ht="15.75" customHeight="1">
      <c r="A56" s="23"/>
      <c r="B56" s="23"/>
      <c r="D56" s="23"/>
      <c r="H56" s="23"/>
      <c r="I56" s="23"/>
      <c r="J56" s="23"/>
      <c r="L56" s="23"/>
      <c r="M56" s="23"/>
      <c r="N56" s="23"/>
      <c r="O56" s="23"/>
      <c r="P56" s="23"/>
      <c r="Q56" s="24"/>
      <c r="R56" s="24"/>
      <c r="T56" s="23"/>
      <c r="U56" s="23"/>
      <c r="V56" s="23"/>
      <c r="X56" s="23"/>
      <c r="Y56" s="23"/>
      <c r="Z56" s="23"/>
    </row>
    <row r="57" ht="15.75" customHeight="1">
      <c r="A57" s="23"/>
      <c r="B57" s="23"/>
      <c r="D57" s="23"/>
      <c r="H57" s="23"/>
      <c r="I57" s="23"/>
      <c r="J57" s="23"/>
      <c r="L57" s="23"/>
      <c r="M57" s="23"/>
      <c r="N57" s="23"/>
      <c r="O57" s="23"/>
      <c r="P57" s="23"/>
      <c r="Q57" s="24"/>
      <c r="R57" s="24"/>
      <c r="T57" s="23"/>
      <c r="U57" s="23"/>
      <c r="V57" s="23"/>
      <c r="X57" s="23"/>
      <c r="Y57" s="23"/>
      <c r="Z57" s="23"/>
    </row>
    <row r="58" ht="15.75" customHeight="1">
      <c r="A58" s="23"/>
      <c r="B58" s="23"/>
      <c r="D58" s="23"/>
      <c r="H58" s="23"/>
      <c r="I58" s="23"/>
      <c r="J58" s="23"/>
      <c r="L58" s="23"/>
      <c r="M58" s="23"/>
      <c r="N58" s="23"/>
      <c r="O58" s="23"/>
      <c r="P58" s="23"/>
      <c r="Q58" s="24"/>
      <c r="R58" s="24"/>
      <c r="T58" s="23"/>
      <c r="U58" s="23"/>
      <c r="V58" s="23"/>
      <c r="X58" s="23"/>
      <c r="Y58" s="23"/>
      <c r="Z58" s="23"/>
    </row>
    <row r="59" ht="15.75" customHeight="1">
      <c r="A59" s="23"/>
      <c r="B59" s="23"/>
      <c r="D59" s="23"/>
      <c r="H59" s="23"/>
      <c r="I59" s="23"/>
      <c r="J59" s="23"/>
      <c r="L59" s="23"/>
      <c r="M59" s="23"/>
      <c r="N59" s="23"/>
      <c r="O59" s="23"/>
      <c r="P59" s="23"/>
      <c r="Q59" s="24"/>
      <c r="R59" s="24"/>
      <c r="T59" s="23"/>
      <c r="U59" s="23"/>
      <c r="V59" s="23"/>
      <c r="X59" s="23"/>
      <c r="Y59" s="23"/>
      <c r="Z59" s="23"/>
    </row>
    <row r="60" ht="15.75" customHeight="1">
      <c r="A60" s="23"/>
      <c r="B60" s="23"/>
      <c r="D60" s="23"/>
      <c r="H60" s="23"/>
      <c r="I60" s="23"/>
      <c r="J60" s="23"/>
      <c r="L60" s="23"/>
      <c r="M60" s="23"/>
      <c r="N60" s="23"/>
      <c r="O60" s="23"/>
      <c r="P60" s="23"/>
      <c r="Q60" s="24"/>
      <c r="R60" s="24"/>
      <c r="T60" s="23"/>
      <c r="U60" s="23"/>
      <c r="V60" s="23"/>
      <c r="X60" s="23"/>
      <c r="Y60" s="23"/>
      <c r="Z60" s="23"/>
    </row>
    <row r="61" ht="15.75" customHeight="1">
      <c r="A61" s="23"/>
      <c r="B61" s="23"/>
      <c r="D61" s="23"/>
      <c r="H61" s="23"/>
      <c r="I61" s="23"/>
      <c r="J61" s="23"/>
      <c r="L61" s="23"/>
      <c r="M61" s="23"/>
      <c r="N61" s="23"/>
      <c r="O61" s="23"/>
      <c r="P61" s="23"/>
      <c r="Q61" s="24"/>
      <c r="R61" s="24"/>
      <c r="T61" s="23"/>
      <c r="U61" s="23"/>
      <c r="V61" s="23"/>
      <c r="X61" s="23"/>
      <c r="Y61" s="23"/>
      <c r="Z61" s="23"/>
    </row>
    <row r="62" ht="15.75" customHeight="1">
      <c r="A62" s="23"/>
      <c r="B62" s="23"/>
      <c r="D62" s="23"/>
      <c r="H62" s="23"/>
      <c r="I62" s="23"/>
      <c r="J62" s="23"/>
      <c r="L62" s="23"/>
      <c r="M62" s="23"/>
      <c r="N62" s="23"/>
      <c r="O62" s="23"/>
      <c r="P62" s="23"/>
      <c r="Q62" s="24"/>
      <c r="R62" s="24"/>
      <c r="T62" s="23"/>
      <c r="U62" s="23"/>
      <c r="V62" s="23"/>
      <c r="X62" s="23"/>
      <c r="Y62" s="23"/>
      <c r="Z62" s="23"/>
    </row>
    <row r="63" ht="15.75" customHeight="1">
      <c r="A63" s="23"/>
      <c r="B63" s="23"/>
      <c r="D63" s="23"/>
      <c r="H63" s="23"/>
      <c r="I63" s="23"/>
      <c r="J63" s="23"/>
      <c r="L63" s="23"/>
      <c r="M63" s="23"/>
      <c r="N63" s="23"/>
      <c r="O63" s="23"/>
      <c r="P63" s="23"/>
      <c r="Q63" s="24"/>
      <c r="R63" s="24"/>
      <c r="T63" s="23"/>
      <c r="U63" s="23"/>
      <c r="V63" s="23"/>
      <c r="X63" s="23"/>
      <c r="Y63" s="23"/>
      <c r="Z63" s="23"/>
    </row>
    <row r="64" ht="15.75" customHeight="1">
      <c r="A64" s="23"/>
      <c r="B64" s="23"/>
      <c r="D64" s="23"/>
      <c r="H64" s="23"/>
      <c r="I64" s="23"/>
      <c r="J64" s="23"/>
      <c r="L64" s="23"/>
      <c r="M64" s="23"/>
      <c r="N64" s="23"/>
      <c r="O64" s="23"/>
      <c r="P64" s="23"/>
      <c r="Q64" s="24"/>
      <c r="R64" s="24"/>
      <c r="T64" s="23"/>
      <c r="U64" s="23"/>
      <c r="V64" s="23"/>
      <c r="X64" s="23"/>
      <c r="Y64" s="23"/>
      <c r="Z64" s="23"/>
    </row>
    <row r="65" ht="15.75" customHeight="1">
      <c r="A65" s="23"/>
      <c r="B65" s="23"/>
      <c r="D65" s="23"/>
      <c r="H65" s="23"/>
      <c r="I65" s="23"/>
      <c r="J65" s="23"/>
      <c r="L65" s="23"/>
      <c r="M65" s="23"/>
      <c r="N65" s="23"/>
      <c r="O65" s="23"/>
      <c r="P65" s="23"/>
      <c r="Q65" s="24"/>
      <c r="R65" s="24"/>
      <c r="T65" s="23"/>
      <c r="U65" s="23"/>
      <c r="V65" s="23"/>
      <c r="X65" s="23"/>
      <c r="Y65" s="23"/>
      <c r="Z65" s="23"/>
    </row>
    <row r="66" ht="15.75" customHeight="1">
      <c r="A66" s="23"/>
      <c r="B66" s="23"/>
      <c r="D66" s="23"/>
      <c r="H66" s="23"/>
      <c r="I66" s="23"/>
      <c r="J66" s="23"/>
      <c r="L66" s="23"/>
      <c r="M66" s="23"/>
      <c r="N66" s="23"/>
      <c r="O66" s="23"/>
      <c r="P66" s="23"/>
      <c r="Q66" s="24"/>
      <c r="R66" s="24"/>
      <c r="T66" s="23"/>
      <c r="U66" s="23"/>
      <c r="V66" s="23"/>
      <c r="X66" s="23"/>
      <c r="Y66" s="23"/>
      <c r="Z66" s="23"/>
    </row>
    <row r="67" ht="15.75" customHeight="1">
      <c r="A67" s="23"/>
      <c r="B67" s="23"/>
      <c r="D67" s="23"/>
      <c r="H67" s="23"/>
      <c r="I67" s="23"/>
      <c r="J67" s="23"/>
      <c r="L67" s="23"/>
      <c r="M67" s="23"/>
      <c r="N67" s="23"/>
      <c r="O67" s="23"/>
      <c r="P67" s="23"/>
      <c r="Q67" s="24"/>
      <c r="R67" s="24"/>
      <c r="T67" s="23"/>
      <c r="U67" s="23"/>
      <c r="V67" s="23"/>
      <c r="X67" s="23"/>
      <c r="Y67" s="23"/>
      <c r="Z67" s="23"/>
    </row>
    <row r="68" ht="15.75" customHeight="1">
      <c r="A68" s="23"/>
      <c r="B68" s="23"/>
      <c r="D68" s="23"/>
      <c r="H68" s="23"/>
      <c r="I68" s="23"/>
      <c r="J68" s="23"/>
      <c r="L68" s="23"/>
      <c r="M68" s="23"/>
      <c r="N68" s="23"/>
      <c r="O68" s="23"/>
      <c r="P68" s="23"/>
      <c r="Q68" s="24"/>
      <c r="R68" s="24"/>
      <c r="T68" s="23"/>
      <c r="U68" s="23"/>
      <c r="V68" s="23"/>
      <c r="X68" s="23"/>
      <c r="Y68" s="23"/>
      <c r="Z68" s="23"/>
    </row>
    <row r="69" ht="15.75" customHeight="1">
      <c r="A69" s="23"/>
      <c r="B69" s="23"/>
      <c r="D69" s="23"/>
      <c r="H69" s="23"/>
      <c r="I69" s="23"/>
      <c r="J69" s="23"/>
      <c r="L69" s="23"/>
      <c r="M69" s="23"/>
      <c r="N69" s="23"/>
      <c r="O69" s="23"/>
      <c r="P69" s="23"/>
      <c r="Q69" s="24"/>
      <c r="R69" s="24"/>
      <c r="T69" s="23"/>
      <c r="U69" s="23"/>
      <c r="V69" s="23"/>
      <c r="X69" s="23"/>
      <c r="Y69" s="23"/>
      <c r="Z69" s="23"/>
    </row>
    <row r="70" ht="15.75" customHeight="1">
      <c r="A70" s="23"/>
      <c r="B70" s="23"/>
      <c r="D70" s="23"/>
      <c r="H70" s="23"/>
      <c r="I70" s="23"/>
      <c r="J70" s="23"/>
      <c r="L70" s="23"/>
      <c r="M70" s="23"/>
      <c r="N70" s="23"/>
      <c r="O70" s="23"/>
      <c r="P70" s="23"/>
      <c r="Q70" s="24"/>
      <c r="R70" s="24"/>
      <c r="T70" s="23"/>
      <c r="U70" s="23"/>
      <c r="V70" s="23"/>
      <c r="X70" s="23"/>
      <c r="Y70" s="23"/>
      <c r="Z70" s="23"/>
    </row>
    <row r="71" ht="15.75" customHeight="1">
      <c r="A71" s="23"/>
      <c r="B71" s="23"/>
      <c r="D71" s="23"/>
      <c r="H71" s="23"/>
      <c r="I71" s="23"/>
      <c r="J71" s="23"/>
      <c r="L71" s="23"/>
      <c r="M71" s="23"/>
      <c r="N71" s="23"/>
      <c r="O71" s="23"/>
      <c r="P71" s="23"/>
      <c r="Q71" s="24"/>
      <c r="R71" s="24"/>
      <c r="T71" s="23"/>
      <c r="U71" s="23"/>
      <c r="V71" s="23"/>
      <c r="X71" s="23"/>
      <c r="Y71" s="23"/>
      <c r="Z71" s="23"/>
    </row>
    <row r="72" ht="15.75" customHeight="1">
      <c r="A72" s="23"/>
      <c r="B72" s="23"/>
      <c r="D72" s="23"/>
      <c r="H72" s="23"/>
      <c r="I72" s="23"/>
      <c r="J72" s="23"/>
      <c r="L72" s="23"/>
      <c r="M72" s="23"/>
      <c r="N72" s="23"/>
      <c r="O72" s="23"/>
      <c r="P72" s="23"/>
      <c r="Q72" s="24"/>
      <c r="R72" s="24"/>
      <c r="T72" s="23"/>
      <c r="U72" s="23"/>
      <c r="V72" s="23"/>
      <c r="X72" s="23"/>
      <c r="Y72" s="23"/>
      <c r="Z72" s="23"/>
    </row>
    <row r="73" ht="15.75" customHeight="1">
      <c r="A73" s="23"/>
      <c r="B73" s="23"/>
      <c r="D73" s="23"/>
      <c r="H73" s="23"/>
      <c r="I73" s="23"/>
      <c r="J73" s="23"/>
      <c r="L73" s="23"/>
      <c r="M73" s="23"/>
      <c r="N73" s="23"/>
      <c r="O73" s="23"/>
      <c r="P73" s="23"/>
      <c r="Q73" s="24"/>
      <c r="R73" s="24"/>
      <c r="T73" s="23"/>
      <c r="U73" s="23"/>
      <c r="V73" s="23"/>
      <c r="X73" s="23"/>
      <c r="Y73" s="23"/>
      <c r="Z73" s="23"/>
    </row>
    <row r="74" ht="15.75" customHeight="1">
      <c r="A74" s="23"/>
      <c r="B74" s="23"/>
      <c r="D74" s="23"/>
      <c r="H74" s="23"/>
      <c r="I74" s="23"/>
      <c r="J74" s="23"/>
      <c r="L74" s="23"/>
      <c r="M74" s="23"/>
      <c r="N74" s="23"/>
      <c r="O74" s="23"/>
      <c r="P74" s="23"/>
      <c r="Q74" s="24"/>
      <c r="R74" s="24"/>
      <c r="T74" s="23"/>
      <c r="U74" s="23"/>
      <c r="V74" s="23"/>
      <c r="X74" s="23"/>
      <c r="Y74" s="23"/>
      <c r="Z74" s="23"/>
    </row>
    <row r="75" ht="15.75" customHeight="1">
      <c r="A75" s="23"/>
      <c r="B75" s="23"/>
      <c r="D75" s="23"/>
      <c r="H75" s="23"/>
      <c r="I75" s="23"/>
      <c r="J75" s="23"/>
      <c r="L75" s="23"/>
      <c r="M75" s="23"/>
      <c r="N75" s="23"/>
      <c r="O75" s="23"/>
      <c r="P75" s="23"/>
      <c r="Q75" s="24"/>
      <c r="R75" s="24"/>
      <c r="T75" s="23"/>
      <c r="U75" s="23"/>
      <c r="V75" s="23"/>
      <c r="X75" s="23"/>
      <c r="Y75" s="23"/>
      <c r="Z75" s="23"/>
    </row>
    <row r="76" ht="15.75" customHeight="1">
      <c r="A76" s="23"/>
      <c r="B76" s="23"/>
      <c r="D76" s="23"/>
      <c r="H76" s="23"/>
      <c r="I76" s="23"/>
      <c r="J76" s="23"/>
      <c r="L76" s="23"/>
      <c r="M76" s="23"/>
      <c r="N76" s="23"/>
      <c r="O76" s="23"/>
      <c r="P76" s="23"/>
      <c r="Q76" s="24"/>
      <c r="R76" s="24"/>
      <c r="T76" s="23"/>
      <c r="U76" s="23"/>
      <c r="V76" s="23"/>
      <c r="X76" s="23"/>
      <c r="Y76" s="23"/>
      <c r="Z76" s="23"/>
    </row>
    <row r="77" ht="15.75" customHeight="1">
      <c r="A77" s="23"/>
      <c r="B77" s="23"/>
      <c r="D77" s="23"/>
      <c r="H77" s="23"/>
      <c r="I77" s="23"/>
      <c r="J77" s="23"/>
      <c r="L77" s="23"/>
      <c r="M77" s="23"/>
      <c r="N77" s="23"/>
      <c r="O77" s="23"/>
      <c r="P77" s="23"/>
      <c r="Q77" s="24"/>
      <c r="R77" s="24"/>
      <c r="T77" s="23"/>
      <c r="U77" s="23"/>
      <c r="V77" s="23"/>
      <c r="X77" s="23"/>
      <c r="Y77" s="23"/>
      <c r="Z77" s="23"/>
    </row>
    <row r="78" ht="15.75" customHeight="1">
      <c r="A78" s="23"/>
      <c r="B78" s="23"/>
      <c r="D78" s="23"/>
      <c r="H78" s="23"/>
      <c r="I78" s="23"/>
      <c r="J78" s="23"/>
      <c r="L78" s="23"/>
      <c r="M78" s="23"/>
      <c r="N78" s="23"/>
      <c r="O78" s="23"/>
      <c r="P78" s="23"/>
      <c r="Q78" s="24"/>
      <c r="R78" s="24"/>
      <c r="T78" s="23"/>
      <c r="U78" s="23"/>
      <c r="V78" s="23"/>
      <c r="X78" s="23"/>
      <c r="Y78" s="23"/>
      <c r="Z78" s="23"/>
    </row>
    <row r="79" ht="15.75" customHeight="1">
      <c r="A79" s="23"/>
      <c r="B79" s="23"/>
      <c r="D79" s="23"/>
      <c r="H79" s="23"/>
      <c r="I79" s="23"/>
      <c r="J79" s="23"/>
      <c r="L79" s="23"/>
      <c r="M79" s="23"/>
      <c r="N79" s="23"/>
      <c r="O79" s="23"/>
      <c r="P79" s="23"/>
      <c r="Q79" s="24"/>
      <c r="R79" s="24"/>
      <c r="T79" s="23"/>
      <c r="U79" s="23"/>
      <c r="V79" s="23"/>
      <c r="X79" s="23"/>
      <c r="Y79" s="23"/>
      <c r="Z79" s="23"/>
    </row>
    <row r="80" ht="15.75" customHeight="1">
      <c r="A80" s="23"/>
      <c r="B80" s="23"/>
      <c r="D80" s="23"/>
      <c r="H80" s="23"/>
      <c r="I80" s="23"/>
      <c r="J80" s="23"/>
      <c r="L80" s="23"/>
      <c r="M80" s="23"/>
      <c r="N80" s="23"/>
      <c r="O80" s="23"/>
      <c r="P80" s="23"/>
      <c r="Q80" s="24"/>
      <c r="R80" s="24"/>
      <c r="T80" s="23"/>
      <c r="U80" s="23"/>
      <c r="V80" s="23"/>
      <c r="X80" s="23"/>
      <c r="Y80" s="23"/>
      <c r="Z80" s="23"/>
    </row>
    <row r="81" ht="15.75" customHeight="1">
      <c r="A81" s="23"/>
      <c r="B81" s="23"/>
      <c r="D81" s="23"/>
      <c r="H81" s="23"/>
      <c r="I81" s="23"/>
      <c r="J81" s="23"/>
      <c r="L81" s="23"/>
      <c r="M81" s="23"/>
      <c r="N81" s="23"/>
      <c r="O81" s="23"/>
      <c r="P81" s="23"/>
      <c r="Q81" s="24"/>
      <c r="R81" s="24"/>
      <c r="T81" s="23"/>
      <c r="U81" s="23"/>
      <c r="V81" s="23"/>
      <c r="X81" s="23"/>
      <c r="Y81" s="23"/>
      <c r="Z81" s="23"/>
    </row>
    <row r="82" ht="15.75" customHeight="1">
      <c r="A82" s="23"/>
      <c r="B82" s="23"/>
      <c r="D82" s="23"/>
      <c r="H82" s="23"/>
      <c r="I82" s="23"/>
      <c r="J82" s="23"/>
      <c r="L82" s="23"/>
      <c r="M82" s="23"/>
      <c r="N82" s="23"/>
      <c r="O82" s="23"/>
      <c r="P82" s="23"/>
      <c r="Q82" s="24"/>
      <c r="R82" s="24"/>
      <c r="T82" s="23"/>
      <c r="U82" s="23"/>
      <c r="V82" s="23"/>
      <c r="X82" s="23"/>
      <c r="Y82" s="23"/>
      <c r="Z82" s="23"/>
    </row>
    <row r="83" ht="15.75" customHeight="1">
      <c r="A83" s="23"/>
      <c r="B83" s="23"/>
      <c r="D83" s="23"/>
      <c r="H83" s="23"/>
      <c r="I83" s="23"/>
      <c r="J83" s="23"/>
      <c r="L83" s="23"/>
      <c r="M83" s="23"/>
      <c r="N83" s="23"/>
      <c r="O83" s="23"/>
      <c r="P83" s="23"/>
      <c r="Q83" s="24"/>
      <c r="R83" s="24"/>
      <c r="T83" s="23"/>
      <c r="U83" s="23"/>
      <c r="V83" s="23"/>
      <c r="X83" s="23"/>
      <c r="Y83" s="23"/>
      <c r="Z83" s="23"/>
    </row>
    <row r="84" ht="15.75" customHeight="1">
      <c r="A84" s="23"/>
      <c r="B84" s="23"/>
      <c r="D84" s="23"/>
      <c r="H84" s="23"/>
      <c r="I84" s="23"/>
      <c r="J84" s="23"/>
      <c r="L84" s="23"/>
      <c r="M84" s="23"/>
      <c r="N84" s="23"/>
      <c r="O84" s="23"/>
      <c r="P84" s="23"/>
      <c r="Q84" s="24"/>
      <c r="R84" s="24"/>
      <c r="T84" s="23"/>
      <c r="U84" s="23"/>
      <c r="V84" s="23"/>
      <c r="X84" s="23"/>
      <c r="Y84" s="23"/>
      <c r="Z84" s="23"/>
    </row>
    <row r="85" ht="15.75" customHeight="1">
      <c r="A85" s="23"/>
      <c r="B85" s="23"/>
      <c r="D85" s="23"/>
      <c r="H85" s="23"/>
      <c r="I85" s="23"/>
      <c r="J85" s="23"/>
      <c r="L85" s="23"/>
      <c r="M85" s="23"/>
      <c r="N85" s="23"/>
      <c r="O85" s="23"/>
      <c r="P85" s="23"/>
      <c r="Q85" s="24"/>
      <c r="R85" s="24"/>
      <c r="T85" s="23"/>
      <c r="U85" s="23"/>
      <c r="V85" s="23"/>
      <c r="X85" s="23"/>
      <c r="Y85" s="23"/>
      <c r="Z85" s="23"/>
    </row>
    <row r="86" ht="15.75" customHeight="1">
      <c r="A86" s="23"/>
      <c r="B86" s="23"/>
      <c r="D86" s="23"/>
      <c r="H86" s="23"/>
      <c r="I86" s="23"/>
      <c r="J86" s="23"/>
      <c r="L86" s="23"/>
      <c r="M86" s="23"/>
      <c r="N86" s="23"/>
      <c r="O86" s="23"/>
      <c r="P86" s="23"/>
      <c r="Q86" s="24"/>
      <c r="R86" s="24"/>
      <c r="T86" s="23"/>
      <c r="U86" s="23"/>
      <c r="V86" s="23"/>
      <c r="X86" s="23"/>
      <c r="Y86" s="23"/>
      <c r="Z86" s="23"/>
    </row>
    <row r="87" ht="15.75" customHeight="1">
      <c r="A87" s="23"/>
      <c r="B87" s="23"/>
      <c r="D87" s="23"/>
      <c r="H87" s="23"/>
      <c r="I87" s="23"/>
      <c r="J87" s="23"/>
      <c r="L87" s="23"/>
      <c r="M87" s="23"/>
      <c r="N87" s="23"/>
      <c r="O87" s="23"/>
      <c r="P87" s="23"/>
      <c r="Q87" s="24"/>
      <c r="R87" s="24"/>
      <c r="T87" s="23"/>
      <c r="U87" s="23"/>
      <c r="V87" s="23"/>
      <c r="X87" s="23"/>
      <c r="Y87" s="23"/>
      <c r="Z87" s="23"/>
    </row>
    <row r="88" ht="15.75" customHeight="1">
      <c r="A88" s="23"/>
      <c r="B88" s="23"/>
      <c r="D88" s="23"/>
      <c r="H88" s="23"/>
      <c r="I88" s="23"/>
      <c r="J88" s="23"/>
      <c r="L88" s="23"/>
      <c r="M88" s="23"/>
      <c r="N88" s="23"/>
      <c r="O88" s="23"/>
      <c r="P88" s="23"/>
      <c r="Q88" s="24"/>
      <c r="R88" s="24"/>
      <c r="T88" s="23"/>
      <c r="U88" s="23"/>
      <c r="V88" s="23"/>
      <c r="X88" s="23"/>
      <c r="Y88" s="23"/>
      <c r="Z88" s="23"/>
    </row>
    <row r="89" ht="15.75" customHeight="1">
      <c r="A89" s="23"/>
      <c r="B89" s="23"/>
      <c r="D89" s="23"/>
      <c r="H89" s="23"/>
      <c r="I89" s="23"/>
      <c r="J89" s="23"/>
      <c r="L89" s="23"/>
      <c r="M89" s="23"/>
      <c r="N89" s="23"/>
      <c r="O89" s="23"/>
      <c r="P89" s="23"/>
      <c r="Q89" s="24"/>
      <c r="R89" s="24"/>
      <c r="T89" s="23"/>
      <c r="U89" s="23"/>
      <c r="V89" s="23"/>
      <c r="X89" s="23"/>
      <c r="Y89" s="23"/>
      <c r="Z89" s="23"/>
    </row>
    <row r="90" ht="15.75" customHeight="1">
      <c r="A90" s="23"/>
      <c r="B90" s="23"/>
      <c r="D90" s="23"/>
      <c r="H90" s="23"/>
      <c r="I90" s="23"/>
      <c r="J90" s="23"/>
      <c r="L90" s="23"/>
      <c r="M90" s="23"/>
      <c r="N90" s="23"/>
      <c r="O90" s="23"/>
      <c r="P90" s="23"/>
      <c r="Q90" s="24"/>
      <c r="R90" s="24"/>
      <c r="T90" s="23"/>
      <c r="U90" s="23"/>
      <c r="V90" s="23"/>
      <c r="X90" s="23"/>
      <c r="Y90" s="23"/>
      <c r="Z90" s="23"/>
    </row>
    <row r="91" ht="15.75" customHeight="1">
      <c r="A91" s="23"/>
      <c r="B91" s="23"/>
      <c r="D91" s="23"/>
      <c r="H91" s="23"/>
      <c r="I91" s="23"/>
      <c r="J91" s="23"/>
      <c r="L91" s="23"/>
      <c r="M91" s="23"/>
      <c r="N91" s="23"/>
      <c r="O91" s="23"/>
      <c r="P91" s="23"/>
      <c r="Q91" s="24"/>
      <c r="R91" s="24"/>
      <c r="T91" s="23"/>
      <c r="U91" s="23"/>
      <c r="V91" s="23"/>
      <c r="X91" s="23"/>
      <c r="Y91" s="23"/>
      <c r="Z91" s="23"/>
    </row>
    <row r="92" ht="15.75" customHeight="1">
      <c r="A92" s="23"/>
      <c r="B92" s="23"/>
      <c r="D92" s="23"/>
      <c r="H92" s="23"/>
      <c r="I92" s="23"/>
      <c r="J92" s="23"/>
      <c r="L92" s="23"/>
      <c r="M92" s="23"/>
      <c r="N92" s="23"/>
      <c r="O92" s="23"/>
      <c r="P92" s="23"/>
      <c r="Q92" s="24"/>
      <c r="R92" s="24"/>
      <c r="T92" s="23"/>
      <c r="U92" s="23"/>
      <c r="V92" s="23"/>
      <c r="X92" s="23"/>
      <c r="Y92" s="23"/>
      <c r="Z92" s="23"/>
    </row>
    <row r="93" ht="15.75" customHeight="1">
      <c r="A93" s="23"/>
      <c r="B93" s="23"/>
      <c r="D93" s="23"/>
      <c r="H93" s="23"/>
      <c r="I93" s="23"/>
      <c r="J93" s="23"/>
      <c r="L93" s="23"/>
      <c r="M93" s="23"/>
      <c r="N93" s="23"/>
      <c r="O93" s="23"/>
      <c r="P93" s="23"/>
      <c r="Q93" s="24"/>
      <c r="R93" s="24"/>
      <c r="T93" s="23"/>
      <c r="U93" s="23"/>
      <c r="V93" s="23"/>
      <c r="X93" s="23"/>
      <c r="Y93" s="23"/>
      <c r="Z93" s="23"/>
    </row>
    <row r="94" ht="15.75" customHeight="1">
      <c r="A94" s="23"/>
      <c r="B94" s="23"/>
      <c r="D94" s="23"/>
      <c r="H94" s="23"/>
      <c r="I94" s="23"/>
      <c r="J94" s="23"/>
      <c r="L94" s="23"/>
      <c r="M94" s="23"/>
      <c r="N94" s="23"/>
      <c r="O94" s="23"/>
      <c r="P94" s="23"/>
      <c r="Q94" s="24"/>
      <c r="R94" s="24"/>
      <c r="T94" s="23"/>
      <c r="U94" s="23"/>
      <c r="V94" s="23"/>
      <c r="X94" s="23"/>
      <c r="Y94" s="23"/>
      <c r="Z94" s="23"/>
    </row>
    <row r="95" ht="15.75" customHeight="1">
      <c r="A95" s="23"/>
      <c r="B95" s="23"/>
      <c r="D95" s="23"/>
      <c r="H95" s="23"/>
      <c r="I95" s="23"/>
      <c r="J95" s="23"/>
      <c r="L95" s="23"/>
      <c r="M95" s="23"/>
      <c r="N95" s="23"/>
      <c r="O95" s="23"/>
      <c r="P95" s="23"/>
      <c r="Q95" s="24"/>
      <c r="R95" s="24"/>
      <c r="T95" s="23"/>
      <c r="U95" s="23"/>
      <c r="V95" s="23"/>
      <c r="X95" s="23"/>
      <c r="Y95" s="23"/>
      <c r="Z95" s="23"/>
    </row>
    <row r="96" ht="15.75" customHeight="1">
      <c r="A96" s="23"/>
      <c r="B96" s="23"/>
      <c r="D96" s="23"/>
      <c r="H96" s="23"/>
      <c r="I96" s="23"/>
      <c r="J96" s="23"/>
      <c r="L96" s="23"/>
      <c r="M96" s="23"/>
      <c r="N96" s="23"/>
      <c r="O96" s="23"/>
      <c r="P96" s="23"/>
      <c r="Q96" s="24"/>
      <c r="R96" s="24"/>
      <c r="T96" s="23"/>
      <c r="U96" s="23"/>
      <c r="V96" s="23"/>
      <c r="X96" s="23"/>
      <c r="Y96" s="23"/>
      <c r="Z96" s="23"/>
    </row>
    <row r="97" ht="15.75" customHeight="1">
      <c r="A97" s="23"/>
      <c r="B97" s="23"/>
      <c r="D97" s="23"/>
      <c r="H97" s="23"/>
      <c r="I97" s="23"/>
      <c r="J97" s="23"/>
      <c r="L97" s="23"/>
      <c r="M97" s="23"/>
      <c r="N97" s="23"/>
      <c r="O97" s="23"/>
      <c r="P97" s="23"/>
      <c r="Q97" s="24"/>
      <c r="R97" s="24"/>
      <c r="T97" s="23"/>
      <c r="U97" s="23"/>
      <c r="V97" s="23"/>
      <c r="X97" s="23"/>
      <c r="Y97" s="23"/>
      <c r="Z97" s="23"/>
    </row>
    <row r="98" ht="15.75" customHeight="1">
      <c r="A98" s="23"/>
      <c r="B98" s="23"/>
      <c r="D98" s="23"/>
      <c r="H98" s="23"/>
      <c r="I98" s="23"/>
      <c r="J98" s="23"/>
      <c r="L98" s="23"/>
      <c r="M98" s="23"/>
      <c r="N98" s="23"/>
      <c r="O98" s="23"/>
      <c r="P98" s="23"/>
      <c r="Q98" s="24"/>
      <c r="R98" s="24"/>
      <c r="T98" s="23"/>
      <c r="U98" s="23"/>
      <c r="V98" s="23"/>
      <c r="X98" s="23"/>
      <c r="Y98" s="23"/>
      <c r="Z98" s="23"/>
    </row>
    <row r="99" ht="15.75" customHeight="1">
      <c r="A99" s="23"/>
      <c r="B99" s="23"/>
      <c r="D99" s="23"/>
      <c r="H99" s="23"/>
      <c r="I99" s="23"/>
      <c r="J99" s="23"/>
      <c r="L99" s="23"/>
      <c r="M99" s="23"/>
      <c r="N99" s="23"/>
      <c r="O99" s="23"/>
      <c r="P99" s="23"/>
      <c r="Q99" s="24"/>
      <c r="R99" s="24"/>
      <c r="T99" s="23"/>
      <c r="U99" s="23"/>
      <c r="V99" s="23"/>
      <c r="X99" s="23"/>
      <c r="Y99" s="23"/>
      <c r="Z99" s="23"/>
    </row>
    <row r="100" ht="15.75" customHeight="1">
      <c r="A100" s="23"/>
      <c r="B100" s="23"/>
      <c r="D100" s="23"/>
      <c r="H100" s="23"/>
      <c r="I100" s="23"/>
      <c r="J100" s="23"/>
      <c r="L100" s="23"/>
      <c r="M100" s="23"/>
      <c r="N100" s="23"/>
      <c r="O100" s="23"/>
      <c r="P100" s="23"/>
      <c r="Q100" s="24"/>
      <c r="R100" s="24"/>
      <c r="T100" s="23"/>
      <c r="U100" s="23"/>
      <c r="V100" s="23"/>
      <c r="X100" s="23"/>
      <c r="Y100" s="23"/>
      <c r="Z100" s="23"/>
    </row>
    <row r="101" ht="15.75" customHeight="1">
      <c r="A101" s="23"/>
      <c r="B101" s="23"/>
      <c r="D101" s="23"/>
      <c r="H101" s="23"/>
      <c r="I101" s="23"/>
      <c r="J101" s="23"/>
      <c r="L101" s="23"/>
      <c r="M101" s="23"/>
      <c r="N101" s="23"/>
      <c r="O101" s="23"/>
      <c r="P101" s="23"/>
      <c r="Q101" s="24"/>
      <c r="R101" s="24"/>
      <c r="T101" s="23"/>
      <c r="U101" s="23"/>
      <c r="V101" s="23"/>
      <c r="X101" s="23"/>
      <c r="Y101" s="23"/>
      <c r="Z101" s="23"/>
    </row>
    <row r="102" ht="15.75" customHeight="1">
      <c r="A102" s="23"/>
      <c r="B102" s="23"/>
      <c r="D102" s="23"/>
      <c r="H102" s="23"/>
      <c r="I102" s="23"/>
      <c r="J102" s="23"/>
      <c r="L102" s="23"/>
      <c r="M102" s="23"/>
      <c r="N102" s="23"/>
      <c r="O102" s="23"/>
      <c r="P102" s="23"/>
      <c r="Q102" s="24"/>
      <c r="R102" s="24"/>
      <c r="T102" s="23"/>
      <c r="U102" s="23"/>
      <c r="V102" s="23"/>
      <c r="X102" s="23"/>
      <c r="Y102" s="23"/>
      <c r="Z102" s="23"/>
    </row>
    <row r="103" ht="15.75" customHeight="1">
      <c r="A103" s="23"/>
      <c r="B103" s="23"/>
      <c r="D103" s="23"/>
      <c r="H103" s="23"/>
      <c r="I103" s="23"/>
      <c r="J103" s="23"/>
      <c r="L103" s="23"/>
      <c r="M103" s="23"/>
      <c r="N103" s="23"/>
      <c r="O103" s="23"/>
      <c r="P103" s="23"/>
      <c r="Q103" s="24"/>
      <c r="R103" s="24"/>
      <c r="T103" s="23"/>
      <c r="U103" s="23"/>
      <c r="V103" s="23"/>
      <c r="X103" s="23"/>
      <c r="Y103" s="23"/>
      <c r="Z103" s="23"/>
    </row>
    <row r="104" ht="15.75" customHeight="1">
      <c r="A104" s="23"/>
      <c r="B104" s="23"/>
      <c r="D104" s="23"/>
      <c r="H104" s="23"/>
      <c r="I104" s="23"/>
      <c r="J104" s="23"/>
      <c r="L104" s="23"/>
      <c r="M104" s="23"/>
      <c r="N104" s="23"/>
      <c r="O104" s="23"/>
      <c r="P104" s="23"/>
      <c r="Q104" s="24"/>
      <c r="R104" s="24"/>
      <c r="T104" s="23"/>
      <c r="U104" s="23"/>
      <c r="V104" s="23"/>
      <c r="X104" s="23"/>
      <c r="Y104" s="23"/>
      <c r="Z104" s="23"/>
    </row>
    <row r="105" ht="15.75" customHeight="1">
      <c r="A105" s="23"/>
      <c r="B105" s="23"/>
      <c r="D105" s="23"/>
      <c r="H105" s="23"/>
      <c r="I105" s="23"/>
      <c r="J105" s="23"/>
      <c r="L105" s="23"/>
      <c r="M105" s="23"/>
      <c r="N105" s="23"/>
      <c r="O105" s="23"/>
      <c r="P105" s="23"/>
      <c r="Q105" s="24"/>
      <c r="R105" s="24"/>
      <c r="T105" s="23"/>
      <c r="U105" s="23"/>
      <c r="V105" s="23"/>
      <c r="X105" s="23"/>
      <c r="Y105" s="23"/>
      <c r="Z105" s="23"/>
    </row>
    <row r="106" ht="15.75" customHeight="1">
      <c r="A106" s="23"/>
      <c r="B106" s="23"/>
      <c r="D106" s="23"/>
      <c r="H106" s="23"/>
      <c r="I106" s="23"/>
      <c r="J106" s="23"/>
      <c r="L106" s="23"/>
      <c r="M106" s="23"/>
      <c r="N106" s="23"/>
      <c r="O106" s="23"/>
      <c r="P106" s="23"/>
      <c r="Q106" s="24"/>
      <c r="R106" s="24"/>
      <c r="T106" s="23"/>
      <c r="U106" s="23"/>
      <c r="V106" s="23"/>
      <c r="X106" s="23"/>
      <c r="Y106" s="23"/>
      <c r="Z106" s="23"/>
    </row>
    <row r="107" ht="15.75" customHeight="1">
      <c r="A107" s="23"/>
      <c r="B107" s="23"/>
      <c r="D107" s="23"/>
      <c r="H107" s="23"/>
      <c r="I107" s="23"/>
      <c r="J107" s="23"/>
      <c r="L107" s="23"/>
      <c r="M107" s="23"/>
      <c r="N107" s="23"/>
      <c r="O107" s="23"/>
      <c r="P107" s="23"/>
      <c r="Q107" s="24"/>
      <c r="R107" s="24"/>
      <c r="T107" s="23"/>
      <c r="U107" s="23"/>
      <c r="V107" s="23"/>
      <c r="X107" s="23"/>
      <c r="Y107" s="23"/>
      <c r="Z107" s="23"/>
    </row>
    <row r="108" ht="15.75" customHeight="1">
      <c r="A108" s="23"/>
      <c r="B108" s="23"/>
      <c r="D108" s="23"/>
      <c r="H108" s="23"/>
      <c r="I108" s="23"/>
      <c r="J108" s="23"/>
      <c r="L108" s="23"/>
      <c r="M108" s="23"/>
      <c r="N108" s="23"/>
      <c r="O108" s="23"/>
      <c r="P108" s="23"/>
      <c r="Q108" s="24"/>
      <c r="R108" s="24"/>
      <c r="T108" s="23"/>
      <c r="U108" s="23"/>
      <c r="V108" s="23"/>
      <c r="X108" s="23"/>
      <c r="Y108" s="23"/>
      <c r="Z108" s="23"/>
    </row>
    <row r="109" ht="15.75" customHeight="1">
      <c r="A109" s="23"/>
      <c r="B109" s="23"/>
      <c r="D109" s="23"/>
      <c r="H109" s="23"/>
      <c r="I109" s="23"/>
      <c r="J109" s="23"/>
      <c r="L109" s="23"/>
      <c r="M109" s="23"/>
      <c r="N109" s="23"/>
      <c r="O109" s="23"/>
      <c r="P109" s="23"/>
      <c r="Q109" s="24"/>
      <c r="R109" s="24"/>
      <c r="T109" s="23"/>
      <c r="U109" s="23"/>
      <c r="V109" s="23"/>
      <c r="X109" s="23"/>
      <c r="Y109" s="23"/>
      <c r="Z109" s="23"/>
    </row>
    <row r="110" ht="15.75" customHeight="1">
      <c r="A110" s="23"/>
      <c r="B110" s="23"/>
      <c r="D110" s="23"/>
      <c r="H110" s="23"/>
      <c r="I110" s="23"/>
      <c r="J110" s="23"/>
      <c r="L110" s="23"/>
      <c r="M110" s="23"/>
      <c r="N110" s="23"/>
      <c r="O110" s="23"/>
      <c r="P110" s="23"/>
      <c r="Q110" s="24"/>
      <c r="R110" s="24"/>
      <c r="T110" s="23"/>
      <c r="U110" s="23"/>
      <c r="V110" s="23"/>
      <c r="X110" s="23"/>
      <c r="Y110" s="23"/>
      <c r="Z110" s="23"/>
    </row>
    <row r="111" ht="15.75" customHeight="1">
      <c r="A111" s="23"/>
      <c r="B111" s="23"/>
      <c r="D111" s="23"/>
      <c r="H111" s="23"/>
      <c r="I111" s="23"/>
      <c r="J111" s="23"/>
      <c r="L111" s="23"/>
      <c r="M111" s="23"/>
      <c r="N111" s="23"/>
      <c r="O111" s="23"/>
      <c r="P111" s="23"/>
      <c r="Q111" s="24"/>
      <c r="R111" s="24"/>
      <c r="T111" s="23"/>
      <c r="U111" s="23"/>
      <c r="V111" s="23"/>
      <c r="X111" s="23"/>
      <c r="Y111" s="23"/>
      <c r="Z111" s="23"/>
    </row>
    <row r="112" ht="15.75" customHeight="1">
      <c r="A112" s="23"/>
      <c r="B112" s="23"/>
      <c r="D112" s="23"/>
      <c r="H112" s="23"/>
      <c r="I112" s="23"/>
      <c r="J112" s="23"/>
      <c r="L112" s="23"/>
      <c r="M112" s="23"/>
      <c r="N112" s="23"/>
      <c r="O112" s="23"/>
      <c r="P112" s="23"/>
      <c r="Q112" s="24"/>
      <c r="R112" s="24"/>
      <c r="T112" s="23"/>
      <c r="U112" s="23"/>
      <c r="V112" s="23"/>
      <c r="X112" s="23"/>
      <c r="Y112" s="23"/>
      <c r="Z112" s="23"/>
    </row>
    <row r="113" ht="15.75" customHeight="1">
      <c r="A113" s="23"/>
      <c r="B113" s="23"/>
      <c r="D113" s="23"/>
      <c r="H113" s="23"/>
      <c r="I113" s="23"/>
      <c r="J113" s="23"/>
      <c r="L113" s="23"/>
      <c r="M113" s="23"/>
      <c r="N113" s="23"/>
      <c r="O113" s="23"/>
      <c r="P113" s="23"/>
      <c r="Q113" s="24"/>
      <c r="R113" s="24"/>
      <c r="T113" s="23"/>
      <c r="U113" s="23"/>
      <c r="V113" s="23"/>
      <c r="X113" s="23"/>
      <c r="Y113" s="23"/>
      <c r="Z113" s="23"/>
    </row>
    <row r="114" ht="15.75" customHeight="1">
      <c r="A114" s="23"/>
      <c r="B114" s="23"/>
      <c r="D114" s="23"/>
      <c r="H114" s="23"/>
      <c r="I114" s="23"/>
      <c r="J114" s="23"/>
      <c r="L114" s="23"/>
      <c r="M114" s="23"/>
      <c r="N114" s="23"/>
      <c r="O114" s="23"/>
      <c r="P114" s="23"/>
      <c r="Q114" s="24"/>
      <c r="R114" s="24"/>
      <c r="T114" s="23"/>
      <c r="U114" s="23"/>
      <c r="V114" s="23"/>
      <c r="X114" s="23"/>
      <c r="Y114" s="23"/>
      <c r="Z114" s="23"/>
    </row>
    <row r="115" ht="15.75" customHeight="1">
      <c r="A115" s="23"/>
      <c r="B115" s="23"/>
      <c r="D115" s="23"/>
      <c r="H115" s="23"/>
      <c r="I115" s="23"/>
      <c r="J115" s="23"/>
      <c r="L115" s="23"/>
      <c r="M115" s="23"/>
      <c r="N115" s="23"/>
      <c r="O115" s="23"/>
      <c r="P115" s="23"/>
      <c r="Q115" s="24"/>
      <c r="R115" s="24"/>
      <c r="T115" s="23"/>
      <c r="U115" s="23"/>
      <c r="V115" s="23"/>
      <c r="X115" s="23"/>
      <c r="Y115" s="23"/>
      <c r="Z115" s="23"/>
    </row>
    <row r="116" ht="15.75" customHeight="1">
      <c r="A116" s="23"/>
      <c r="B116" s="23"/>
      <c r="D116" s="23"/>
      <c r="H116" s="23"/>
      <c r="I116" s="23"/>
      <c r="J116" s="23"/>
      <c r="L116" s="23"/>
      <c r="M116" s="23"/>
      <c r="N116" s="23"/>
      <c r="O116" s="23"/>
      <c r="P116" s="23"/>
      <c r="Q116" s="24"/>
      <c r="R116" s="24"/>
      <c r="T116" s="23"/>
      <c r="U116" s="23"/>
      <c r="V116" s="23"/>
      <c r="X116" s="23"/>
      <c r="Y116" s="23"/>
      <c r="Z116" s="23"/>
    </row>
    <row r="117" ht="15.75" customHeight="1">
      <c r="A117" s="23"/>
      <c r="B117" s="23"/>
      <c r="D117" s="23"/>
      <c r="H117" s="23"/>
      <c r="I117" s="23"/>
      <c r="J117" s="23"/>
      <c r="L117" s="23"/>
      <c r="M117" s="23"/>
      <c r="N117" s="23"/>
      <c r="O117" s="23"/>
      <c r="P117" s="23"/>
      <c r="Q117" s="24"/>
      <c r="R117" s="24"/>
      <c r="T117" s="23"/>
      <c r="U117" s="23"/>
      <c r="V117" s="23"/>
      <c r="X117" s="23"/>
      <c r="Y117" s="23"/>
      <c r="Z117" s="23"/>
    </row>
    <row r="118" ht="15.75" customHeight="1">
      <c r="A118" s="23"/>
      <c r="B118" s="23"/>
      <c r="D118" s="23"/>
      <c r="H118" s="23"/>
      <c r="I118" s="23"/>
      <c r="J118" s="23"/>
      <c r="L118" s="23"/>
      <c r="M118" s="23"/>
      <c r="N118" s="23"/>
      <c r="O118" s="23"/>
      <c r="P118" s="23"/>
      <c r="Q118" s="24"/>
      <c r="R118" s="24"/>
      <c r="T118" s="23"/>
      <c r="U118" s="23"/>
      <c r="V118" s="23"/>
      <c r="X118" s="23"/>
      <c r="Y118" s="23"/>
      <c r="Z118" s="23"/>
    </row>
    <row r="119" ht="15.75" customHeight="1">
      <c r="A119" s="23"/>
      <c r="B119" s="23"/>
      <c r="D119" s="23"/>
      <c r="H119" s="23"/>
      <c r="I119" s="23"/>
      <c r="J119" s="23"/>
      <c r="L119" s="23"/>
      <c r="M119" s="23"/>
      <c r="N119" s="23"/>
      <c r="O119" s="23"/>
      <c r="P119" s="23"/>
      <c r="Q119" s="24"/>
      <c r="R119" s="24"/>
      <c r="T119" s="23"/>
      <c r="U119" s="23"/>
      <c r="V119" s="23"/>
      <c r="X119" s="23"/>
      <c r="Y119" s="23"/>
      <c r="Z119" s="23"/>
    </row>
    <row r="120" ht="15.75" customHeight="1">
      <c r="A120" s="23"/>
      <c r="B120" s="23"/>
      <c r="D120" s="23"/>
      <c r="H120" s="23"/>
      <c r="I120" s="23"/>
      <c r="J120" s="23"/>
      <c r="L120" s="23"/>
      <c r="M120" s="23"/>
      <c r="N120" s="23"/>
      <c r="O120" s="23"/>
      <c r="P120" s="23"/>
      <c r="Q120" s="24"/>
      <c r="R120" s="24"/>
      <c r="T120" s="23"/>
      <c r="U120" s="23"/>
      <c r="V120" s="23"/>
      <c r="X120" s="23"/>
      <c r="Y120" s="23"/>
      <c r="Z120" s="23"/>
    </row>
    <row r="121" ht="15.75" customHeight="1">
      <c r="A121" s="23"/>
      <c r="B121" s="23"/>
      <c r="D121" s="23"/>
      <c r="H121" s="23"/>
      <c r="I121" s="23"/>
      <c r="J121" s="23"/>
      <c r="L121" s="23"/>
      <c r="M121" s="23"/>
      <c r="N121" s="23"/>
      <c r="O121" s="23"/>
      <c r="P121" s="23"/>
      <c r="Q121" s="24"/>
      <c r="R121" s="24"/>
      <c r="T121" s="23"/>
      <c r="U121" s="23"/>
      <c r="V121" s="23"/>
      <c r="X121" s="23"/>
      <c r="Y121" s="23"/>
      <c r="Z121" s="23"/>
    </row>
    <row r="122" ht="15.75" customHeight="1">
      <c r="A122" s="23"/>
      <c r="B122" s="23"/>
      <c r="D122" s="23"/>
      <c r="H122" s="23"/>
      <c r="I122" s="23"/>
      <c r="J122" s="23"/>
      <c r="L122" s="23"/>
      <c r="M122" s="23"/>
      <c r="N122" s="23"/>
      <c r="O122" s="23"/>
      <c r="P122" s="23"/>
      <c r="Q122" s="24"/>
      <c r="R122" s="24"/>
      <c r="T122" s="23"/>
      <c r="U122" s="23"/>
      <c r="V122" s="23"/>
      <c r="X122" s="23"/>
      <c r="Y122" s="23"/>
      <c r="Z122" s="23"/>
    </row>
    <row r="123" ht="15.75" customHeight="1">
      <c r="A123" s="23"/>
      <c r="B123" s="23"/>
      <c r="D123" s="23"/>
      <c r="H123" s="23"/>
      <c r="I123" s="23"/>
      <c r="J123" s="23"/>
      <c r="L123" s="23"/>
      <c r="M123" s="23"/>
      <c r="N123" s="23"/>
      <c r="O123" s="23"/>
      <c r="P123" s="23"/>
      <c r="Q123" s="24"/>
      <c r="R123" s="24"/>
      <c r="T123" s="23"/>
      <c r="U123" s="23"/>
      <c r="V123" s="23"/>
      <c r="X123" s="23"/>
      <c r="Y123" s="23"/>
      <c r="Z123" s="23"/>
    </row>
    <row r="124" ht="15.75" customHeight="1">
      <c r="A124" s="23"/>
      <c r="B124" s="23"/>
      <c r="D124" s="23"/>
      <c r="H124" s="23"/>
      <c r="I124" s="23"/>
      <c r="J124" s="23"/>
      <c r="L124" s="23"/>
      <c r="M124" s="23"/>
      <c r="N124" s="23"/>
      <c r="O124" s="23"/>
      <c r="P124" s="23"/>
      <c r="Q124" s="24"/>
      <c r="R124" s="24"/>
      <c r="T124" s="23"/>
      <c r="U124" s="23"/>
      <c r="V124" s="23"/>
      <c r="X124" s="23"/>
      <c r="Y124" s="23"/>
      <c r="Z124" s="23"/>
    </row>
    <row r="125" ht="15.75" customHeight="1">
      <c r="A125" s="23"/>
      <c r="B125" s="23"/>
      <c r="D125" s="23"/>
      <c r="H125" s="23"/>
      <c r="I125" s="23"/>
      <c r="J125" s="23"/>
      <c r="L125" s="23"/>
      <c r="M125" s="23"/>
      <c r="N125" s="23"/>
      <c r="O125" s="23"/>
      <c r="P125" s="23"/>
      <c r="Q125" s="24"/>
      <c r="R125" s="24"/>
      <c r="T125" s="23"/>
      <c r="U125" s="23"/>
      <c r="V125" s="23"/>
      <c r="X125" s="23"/>
      <c r="Y125" s="23"/>
      <c r="Z125" s="23"/>
    </row>
    <row r="126" ht="15.75" customHeight="1">
      <c r="A126" s="23"/>
      <c r="B126" s="23"/>
      <c r="D126" s="23"/>
      <c r="H126" s="23"/>
      <c r="I126" s="23"/>
      <c r="J126" s="23"/>
      <c r="L126" s="23"/>
      <c r="M126" s="23"/>
      <c r="N126" s="23"/>
      <c r="O126" s="23"/>
      <c r="P126" s="23"/>
      <c r="Q126" s="24"/>
      <c r="R126" s="24"/>
      <c r="T126" s="23"/>
      <c r="U126" s="23"/>
      <c r="V126" s="23"/>
      <c r="X126" s="23"/>
      <c r="Y126" s="23"/>
      <c r="Z126" s="23"/>
    </row>
    <row r="127" ht="15.75" customHeight="1">
      <c r="A127" s="23"/>
      <c r="B127" s="23"/>
      <c r="D127" s="23"/>
      <c r="H127" s="23"/>
      <c r="I127" s="23"/>
      <c r="J127" s="23"/>
      <c r="L127" s="23"/>
      <c r="M127" s="23"/>
      <c r="N127" s="23"/>
      <c r="O127" s="23"/>
      <c r="P127" s="23"/>
      <c r="Q127" s="24"/>
      <c r="R127" s="24"/>
      <c r="T127" s="23"/>
      <c r="U127" s="23"/>
      <c r="V127" s="23"/>
      <c r="X127" s="23"/>
      <c r="Y127" s="23"/>
      <c r="Z127" s="23"/>
    </row>
    <row r="128" ht="15.75" customHeight="1">
      <c r="A128" s="23"/>
      <c r="B128" s="23"/>
      <c r="D128" s="23"/>
      <c r="H128" s="23"/>
      <c r="I128" s="23"/>
      <c r="J128" s="23"/>
      <c r="L128" s="23"/>
      <c r="M128" s="23"/>
      <c r="N128" s="23"/>
      <c r="O128" s="23"/>
      <c r="P128" s="23"/>
      <c r="Q128" s="24"/>
      <c r="R128" s="24"/>
      <c r="T128" s="23"/>
      <c r="U128" s="23"/>
      <c r="V128" s="23"/>
      <c r="X128" s="23"/>
      <c r="Y128" s="23"/>
      <c r="Z128" s="23"/>
    </row>
    <row r="129" ht="15.75" customHeight="1">
      <c r="A129" s="23"/>
      <c r="B129" s="23"/>
      <c r="D129" s="23"/>
      <c r="H129" s="23"/>
      <c r="I129" s="23"/>
      <c r="J129" s="23"/>
      <c r="L129" s="23"/>
      <c r="M129" s="23"/>
      <c r="N129" s="23"/>
      <c r="O129" s="23"/>
      <c r="P129" s="23"/>
      <c r="Q129" s="24"/>
      <c r="R129" s="24"/>
      <c r="T129" s="23"/>
      <c r="U129" s="23"/>
      <c r="V129" s="23"/>
      <c r="X129" s="23"/>
      <c r="Y129" s="23"/>
      <c r="Z129" s="23"/>
    </row>
    <row r="130" ht="15.75" customHeight="1">
      <c r="A130" s="23"/>
      <c r="B130" s="23"/>
      <c r="D130" s="23"/>
      <c r="H130" s="23"/>
      <c r="I130" s="23"/>
      <c r="J130" s="23"/>
      <c r="L130" s="23"/>
      <c r="M130" s="23"/>
      <c r="N130" s="23"/>
      <c r="O130" s="23"/>
      <c r="P130" s="23"/>
      <c r="Q130" s="24"/>
      <c r="R130" s="24"/>
      <c r="T130" s="23"/>
      <c r="U130" s="23"/>
      <c r="V130" s="23"/>
      <c r="X130" s="23"/>
      <c r="Y130" s="23"/>
      <c r="Z130" s="23"/>
    </row>
    <row r="131" ht="15.75" customHeight="1">
      <c r="A131" s="23"/>
      <c r="B131" s="23"/>
      <c r="D131" s="23"/>
      <c r="H131" s="23"/>
      <c r="I131" s="23"/>
      <c r="J131" s="23"/>
      <c r="L131" s="23"/>
      <c r="M131" s="23"/>
      <c r="N131" s="23"/>
      <c r="O131" s="23"/>
      <c r="P131" s="23"/>
      <c r="Q131" s="24"/>
      <c r="R131" s="24"/>
      <c r="T131" s="23"/>
      <c r="U131" s="23"/>
      <c r="V131" s="23"/>
      <c r="X131" s="23"/>
      <c r="Y131" s="23"/>
      <c r="Z131" s="23"/>
    </row>
    <row r="132" ht="15.75" customHeight="1">
      <c r="A132" s="23"/>
      <c r="B132" s="23"/>
      <c r="D132" s="23"/>
      <c r="H132" s="23"/>
      <c r="I132" s="23"/>
      <c r="J132" s="23"/>
      <c r="L132" s="23"/>
      <c r="M132" s="23"/>
      <c r="N132" s="23"/>
      <c r="O132" s="23"/>
      <c r="P132" s="23"/>
      <c r="Q132" s="24"/>
      <c r="R132" s="24"/>
      <c r="T132" s="23"/>
      <c r="U132" s="23"/>
      <c r="V132" s="23"/>
      <c r="X132" s="23"/>
      <c r="Y132" s="23"/>
      <c r="Z132" s="23"/>
    </row>
    <row r="133" ht="15.75" customHeight="1">
      <c r="A133" s="23"/>
      <c r="B133" s="23"/>
      <c r="D133" s="23"/>
      <c r="H133" s="23"/>
      <c r="I133" s="23"/>
      <c r="J133" s="23"/>
      <c r="L133" s="23"/>
      <c r="M133" s="23"/>
      <c r="N133" s="23"/>
      <c r="O133" s="23"/>
      <c r="P133" s="23"/>
      <c r="Q133" s="24"/>
      <c r="R133" s="24"/>
      <c r="T133" s="23"/>
      <c r="U133" s="23"/>
      <c r="V133" s="23"/>
      <c r="X133" s="23"/>
      <c r="Y133" s="23"/>
      <c r="Z133" s="23"/>
    </row>
    <row r="134" ht="15.75" customHeight="1">
      <c r="A134" s="23"/>
      <c r="B134" s="23"/>
      <c r="D134" s="23"/>
      <c r="H134" s="23"/>
      <c r="I134" s="23"/>
      <c r="J134" s="23"/>
      <c r="L134" s="23"/>
      <c r="M134" s="23"/>
      <c r="N134" s="23"/>
      <c r="O134" s="23"/>
      <c r="P134" s="23"/>
      <c r="Q134" s="24"/>
      <c r="R134" s="24"/>
      <c r="T134" s="23"/>
      <c r="U134" s="23"/>
      <c r="V134" s="23"/>
      <c r="X134" s="23"/>
      <c r="Y134" s="23"/>
      <c r="Z134" s="23"/>
    </row>
    <row r="135" ht="15.75" customHeight="1">
      <c r="A135" s="23"/>
      <c r="B135" s="23"/>
      <c r="D135" s="23"/>
      <c r="H135" s="23"/>
      <c r="I135" s="23"/>
      <c r="J135" s="23"/>
      <c r="L135" s="23"/>
      <c r="M135" s="23"/>
      <c r="N135" s="23"/>
      <c r="O135" s="23"/>
      <c r="P135" s="23"/>
      <c r="Q135" s="24"/>
      <c r="R135" s="24"/>
      <c r="T135" s="23"/>
      <c r="U135" s="23"/>
      <c r="V135" s="23"/>
      <c r="X135" s="23"/>
      <c r="Y135" s="23"/>
      <c r="Z135" s="23"/>
    </row>
    <row r="136" ht="15.75" customHeight="1">
      <c r="A136" s="23"/>
      <c r="B136" s="23"/>
      <c r="D136" s="23"/>
      <c r="H136" s="23"/>
      <c r="I136" s="23"/>
      <c r="J136" s="23"/>
      <c r="L136" s="23"/>
      <c r="M136" s="23"/>
      <c r="N136" s="23"/>
      <c r="O136" s="23"/>
      <c r="P136" s="23"/>
      <c r="Q136" s="24"/>
      <c r="R136" s="24"/>
      <c r="T136" s="23"/>
      <c r="U136" s="23"/>
      <c r="V136" s="23"/>
      <c r="X136" s="23"/>
      <c r="Y136" s="23"/>
      <c r="Z136" s="23"/>
    </row>
    <row r="137" ht="15.75" customHeight="1">
      <c r="A137" s="23"/>
      <c r="B137" s="23"/>
      <c r="D137" s="23"/>
      <c r="H137" s="23"/>
      <c r="I137" s="23"/>
      <c r="J137" s="23"/>
      <c r="L137" s="23"/>
      <c r="M137" s="23"/>
      <c r="N137" s="23"/>
      <c r="O137" s="23"/>
      <c r="P137" s="23"/>
      <c r="Q137" s="24"/>
      <c r="R137" s="24"/>
      <c r="T137" s="23"/>
      <c r="U137" s="23"/>
      <c r="V137" s="23"/>
      <c r="X137" s="23"/>
      <c r="Y137" s="23"/>
      <c r="Z137" s="23"/>
    </row>
    <row r="138" ht="15.75" customHeight="1">
      <c r="A138" s="23"/>
      <c r="B138" s="23"/>
      <c r="D138" s="23"/>
      <c r="H138" s="23"/>
      <c r="I138" s="23"/>
      <c r="J138" s="23"/>
      <c r="L138" s="23"/>
      <c r="M138" s="23"/>
      <c r="N138" s="23"/>
      <c r="O138" s="23"/>
      <c r="P138" s="23"/>
      <c r="Q138" s="24"/>
      <c r="R138" s="24"/>
      <c r="T138" s="23"/>
      <c r="U138" s="23"/>
      <c r="V138" s="23"/>
      <c r="X138" s="23"/>
      <c r="Y138" s="23"/>
      <c r="Z138" s="23"/>
    </row>
    <row r="139" ht="15.75" customHeight="1">
      <c r="A139" s="23"/>
      <c r="B139" s="23"/>
      <c r="D139" s="23"/>
      <c r="H139" s="23"/>
      <c r="I139" s="23"/>
      <c r="J139" s="23"/>
      <c r="L139" s="23"/>
      <c r="M139" s="23"/>
      <c r="N139" s="23"/>
      <c r="O139" s="23"/>
      <c r="P139" s="23"/>
      <c r="Q139" s="24"/>
      <c r="R139" s="24"/>
      <c r="T139" s="23"/>
      <c r="U139" s="23"/>
      <c r="V139" s="23"/>
      <c r="X139" s="23"/>
      <c r="Y139" s="23"/>
      <c r="Z139" s="23"/>
    </row>
    <row r="140" ht="15.75" customHeight="1">
      <c r="A140" s="23"/>
      <c r="B140" s="23"/>
      <c r="D140" s="23"/>
      <c r="H140" s="23"/>
      <c r="I140" s="23"/>
      <c r="J140" s="23"/>
      <c r="L140" s="23"/>
      <c r="M140" s="23"/>
      <c r="N140" s="23"/>
      <c r="O140" s="23"/>
      <c r="P140" s="23"/>
      <c r="Q140" s="24"/>
      <c r="R140" s="24"/>
      <c r="T140" s="23"/>
      <c r="U140" s="23"/>
      <c r="V140" s="23"/>
      <c r="X140" s="23"/>
      <c r="Y140" s="23"/>
      <c r="Z140" s="23"/>
    </row>
    <row r="141" ht="15.75" customHeight="1">
      <c r="A141" s="23"/>
      <c r="B141" s="23"/>
      <c r="D141" s="23"/>
      <c r="H141" s="23"/>
      <c r="I141" s="23"/>
      <c r="J141" s="23"/>
      <c r="L141" s="23"/>
      <c r="M141" s="23"/>
      <c r="N141" s="23"/>
      <c r="O141" s="23"/>
      <c r="P141" s="23"/>
      <c r="Q141" s="24"/>
      <c r="R141" s="24"/>
      <c r="T141" s="23"/>
      <c r="U141" s="23"/>
      <c r="V141" s="23"/>
      <c r="X141" s="23"/>
      <c r="Y141" s="23"/>
      <c r="Z141" s="23"/>
    </row>
    <row r="142" ht="15.75" customHeight="1">
      <c r="A142" s="23"/>
      <c r="B142" s="23"/>
      <c r="D142" s="23"/>
      <c r="H142" s="23"/>
      <c r="I142" s="23"/>
      <c r="J142" s="23"/>
      <c r="L142" s="23"/>
      <c r="M142" s="23"/>
      <c r="N142" s="23"/>
      <c r="O142" s="23"/>
      <c r="P142" s="23"/>
      <c r="Q142" s="24"/>
      <c r="R142" s="24"/>
      <c r="T142" s="23"/>
      <c r="U142" s="23"/>
      <c r="V142" s="23"/>
      <c r="X142" s="23"/>
      <c r="Y142" s="23"/>
      <c r="Z142" s="23"/>
    </row>
    <row r="143" ht="15.75" customHeight="1">
      <c r="A143" s="23"/>
      <c r="B143" s="23"/>
      <c r="D143" s="23"/>
      <c r="H143" s="23"/>
      <c r="I143" s="23"/>
      <c r="J143" s="23"/>
      <c r="L143" s="23"/>
      <c r="M143" s="23"/>
      <c r="N143" s="23"/>
      <c r="O143" s="23"/>
      <c r="P143" s="23"/>
      <c r="Q143" s="24"/>
      <c r="R143" s="24"/>
      <c r="T143" s="23"/>
      <c r="U143" s="23"/>
      <c r="V143" s="23"/>
      <c r="X143" s="23"/>
      <c r="Y143" s="23"/>
      <c r="Z143" s="23"/>
    </row>
    <row r="144" ht="15.75" customHeight="1">
      <c r="A144" s="23"/>
      <c r="B144" s="23"/>
      <c r="D144" s="23"/>
      <c r="H144" s="23"/>
      <c r="I144" s="23"/>
      <c r="J144" s="23"/>
      <c r="L144" s="23"/>
      <c r="M144" s="23"/>
      <c r="N144" s="23"/>
      <c r="O144" s="23"/>
      <c r="P144" s="23"/>
      <c r="Q144" s="24"/>
      <c r="R144" s="24"/>
      <c r="T144" s="23"/>
      <c r="U144" s="23"/>
      <c r="V144" s="23"/>
      <c r="X144" s="23"/>
      <c r="Y144" s="23"/>
      <c r="Z144" s="23"/>
    </row>
    <row r="145" ht="15.75" customHeight="1">
      <c r="A145" s="23"/>
      <c r="B145" s="23"/>
      <c r="D145" s="23"/>
      <c r="H145" s="23"/>
      <c r="I145" s="23"/>
      <c r="J145" s="23"/>
      <c r="L145" s="23"/>
      <c r="M145" s="23"/>
      <c r="N145" s="23"/>
      <c r="O145" s="23"/>
      <c r="P145" s="23"/>
      <c r="Q145" s="24"/>
      <c r="R145" s="24"/>
      <c r="T145" s="23"/>
      <c r="U145" s="23"/>
      <c r="V145" s="23"/>
      <c r="X145" s="23"/>
      <c r="Y145" s="23"/>
      <c r="Z145" s="23"/>
    </row>
    <row r="146" ht="15.75" customHeight="1">
      <c r="A146" s="23"/>
      <c r="B146" s="23"/>
      <c r="D146" s="23"/>
      <c r="H146" s="23"/>
      <c r="I146" s="23"/>
      <c r="J146" s="23"/>
      <c r="L146" s="23"/>
      <c r="M146" s="23"/>
      <c r="N146" s="23"/>
      <c r="O146" s="23"/>
      <c r="P146" s="23"/>
      <c r="Q146" s="24"/>
      <c r="R146" s="24"/>
      <c r="T146" s="23"/>
      <c r="U146" s="23"/>
      <c r="V146" s="23"/>
      <c r="X146" s="23"/>
      <c r="Y146" s="23"/>
      <c r="Z146" s="23"/>
    </row>
    <row r="147" ht="15.75" customHeight="1">
      <c r="A147" s="23"/>
      <c r="B147" s="23"/>
      <c r="D147" s="23"/>
      <c r="H147" s="23"/>
      <c r="I147" s="23"/>
      <c r="J147" s="23"/>
      <c r="L147" s="23"/>
      <c r="M147" s="23"/>
      <c r="N147" s="23"/>
      <c r="O147" s="23"/>
      <c r="P147" s="23"/>
      <c r="Q147" s="24"/>
      <c r="R147" s="24"/>
      <c r="T147" s="23"/>
      <c r="U147" s="23"/>
      <c r="V147" s="23"/>
      <c r="X147" s="23"/>
      <c r="Y147" s="23"/>
      <c r="Z147" s="23"/>
    </row>
    <row r="148" ht="15.75" customHeight="1">
      <c r="A148" s="23"/>
      <c r="B148" s="23"/>
      <c r="D148" s="23"/>
      <c r="H148" s="23"/>
      <c r="I148" s="23"/>
      <c r="J148" s="23"/>
      <c r="L148" s="23"/>
      <c r="M148" s="23"/>
      <c r="N148" s="23"/>
      <c r="O148" s="23"/>
      <c r="P148" s="23"/>
      <c r="Q148" s="24"/>
      <c r="R148" s="24"/>
      <c r="T148" s="23"/>
      <c r="U148" s="23"/>
      <c r="V148" s="23"/>
      <c r="X148" s="23"/>
      <c r="Y148" s="23"/>
      <c r="Z148" s="23"/>
    </row>
    <row r="149" ht="15.75" customHeight="1">
      <c r="A149" s="23"/>
      <c r="B149" s="23"/>
      <c r="D149" s="23"/>
      <c r="H149" s="23"/>
      <c r="I149" s="23"/>
      <c r="J149" s="23"/>
      <c r="L149" s="23"/>
      <c r="M149" s="23"/>
      <c r="N149" s="23"/>
      <c r="O149" s="23"/>
      <c r="P149" s="23"/>
      <c r="Q149" s="24"/>
      <c r="R149" s="24"/>
      <c r="T149" s="23"/>
      <c r="U149" s="23"/>
      <c r="V149" s="23"/>
      <c r="X149" s="23"/>
      <c r="Y149" s="23"/>
      <c r="Z149" s="23"/>
    </row>
    <row r="150" ht="15.75" customHeight="1">
      <c r="A150" s="23"/>
      <c r="B150" s="23"/>
      <c r="D150" s="23"/>
      <c r="H150" s="23"/>
      <c r="I150" s="23"/>
      <c r="J150" s="23"/>
      <c r="L150" s="23"/>
      <c r="M150" s="23"/>
      <c r="N150" s="23"/>
      <c r="O150" s="23"/>
      <c r="P150" s="23"/>
      <c r="Q150" s="24"/>
      <c r="R150" s="24"/>
      <c r="T150" s="23"/>
      <c r="U150" s="23"/>
      <c r="V150" s="23"/>
      <c r="X150" s="23"/>
      <c r="Y150" s="23"/>
      <c r="Z150" s="23"/>
    </row>
    <row r="151" ht="15.75" customHeight="1">
      <c r="A151" s="23"/>
      <c r="B151" s="23"/>
      <c r="D151" s="23"/>
      <c r="H151" s="23"/>
      <c r="I151" s="23"/>
      <c r="J151" s="23"/>
      <c r="L151" s="23"/>
      <c r="M151" s="23"/>
      <c r="N151" s="23"/>
      <c r="O151" s="23"/>
      <c r="P151" s="23"/>
      <c r="Q151" s="24"/>
      <c r="R151" s="24"/>
      <c r="T151" s="23"/>
      <c r="U151" s="23"/>
      <c r="V151" s="23"/>
      <c r="X151" s="23"/>
      <c r="Y151" s="23"/>
      <c r="Z151" s="23"/>
    </row>
    <row r="152" ht="15.75" customHeight="1">
      <c r="A152" s="23"/>
      <c r="B152" s="23"/>
      <c r="D152" s="23"/>
      <c r="H152" s="23"/>
      <c r="I152" s="23"/>
      <c r="J152" s="23"/>
      <c r="L152" s="23"/>
      <c r="M152" s="23"/>
      <c r="N152" s="23"/>
      <c r="O152" s="23"/>
      <c r="P152" s="23"/>
      <c r="Q152" s="24"/>
      <c r="R152" s="24"/>
      <c r="T152" s="23"/>
      <c r="U152" s="23"/>
      <c r="V152" s="23"/>
      <c r="X152" s="23"/>
      <c r="Y152" s="23"/>
      <c r="Z152" s="23"/>
    </row>
    <row r="153" ht="15.75" customHeight="1">
      <c r="A153" s="23"/>
      <c r="B153" s="23"/>
      <c r="D153" s="23"/>
      <c r="H153" s="23"/>
      <c r="I153" s="23"/>
      <c r="J153" s="23"/>
      <c r="L153" s="23"/>
      <c r="M153" s="23"/>
      <c r="N153" s="23"/>
      <c r="O153" s="23"/>
      <c r="P153" s="23"/>
      <c r="Q153" s="24"/>
      <c r="R153" s="24"/>
      <c r="T153" s="23"/>
      <c r="U153" s="23"/>
      <c r="V153" s="23"/>
      <c r="X153" s="23"/>
      <c r="Y153" s="23"/>
      <c r="Z153" s="23"/>
    </row>
    <row r="154" ht="15.75" customHeight="1">
      <c r="A154" s="23"/>
      <c r="B154" s="23"/>
      <c r="D154" s="23"/>
      <c r="H154" s="23"/>
      <c r="I154" s="23"/>
      <c r="J154" s="23"/>
      <c r="L154" s="23"/>
      <c r="M154" s="23"/>
      <c r="N154" s="23"/>
      <c r="O154" s="23"/>
      <c r="P154" s="23"/>
      <c r="Q154" s="24"/>
      <c r="R154" s="24"/>
      <c r="T154" s="23"/>
      <c r="U154" s="23"/>
      <c r="V154" s="23"/>
      <c r="X154" s="23"/>
      <c r="Y154" s="23"/>
      <c r="Z154" s="23"/>
    </row>
    <row r="155" ht="15.75" customHeight="1">
      <c r="A155" s="23"/>
      <c r="B155" s="23"/>
      <c r="D155" s="23"/>
      <c r="H155" s="23"/>
      <c r="I155" s="23"/>
      <c r="J155" s="23"/>
      <c r="L155" s="23"/>
      <c r="M155" s="23"/>
      <c r="N155" s="23"/>
      <c r="O155" s="23"/>
      <c r="P155" s="23"/>
      <c r="Q155" s="24"/>
      <c r="R155" s="24"/>
      <c r="T155" s="23"/>
      <c r="U155" s="23"/>
      <c r="V155" s="23"/>
      <c r="X155" s="23"/>
      <c r="Y155" s="23"/>
      <c r="Z155" s="23"/>
    </row>
    <row r="156" ht="15.75" customHeight="1">
      <c r="A156" s="23"/>
      <c r="B156" s="23"/>
      <c r="D156" s="23"/>
      <c r="H156" s="23"/>
      <c r="I156" s="23"/>
      <c r="J156" s="23"/>
      <c r="L156" s="23"/>
      <c r="M156" s="23"/>
      <c r="N156" s="23"/>
      <c r="O156" s="23"/>
      <c r="P156" s="23"/>
      <c r="Q156" s="24"/>
      <c r="R156" s="24"/>
      <c r="T156" s="23"/>
      <c r="U156" s="23"/>
      <c r="V156" s="23"/>
      <c r="X156" s="23"/>
      <c r="Y156" s="23"/>
      <c r="Z156" s="23"/>
    </row>
    <row r="157" ht="15.75" customHeight="1">
      <c r="A157" s="23"/>
      <c r="B157" s="23"/>
      <c r="D157" s="23"/>
      <c r="H157" s="23"/>
      <c r="I157" s="23"/>
      <c r="J157" s="23"/>
      <c r="L157" s="23"/>
      <c r="M157" s="23"/>
      <c r="N157" s="23"/>
      <c r="O157" s="23"/>
      <c r="P157" s="23"/>
      <c r="Q157" s="24"/>
      <c r="R157" s="24"/>
      <c r="T157" s="23"/>
      <c r="U157" s="23"/>
      <c r="V157" s="23"/>
      <c r="X157" s="23"/>
      <c r="Y157" s="23"/>
      <c r="Z157" s="23"/>
    </row>
    <row r="158" ht="15.75" customHeight="1">
      <c r="A158" s="23"/>
      <c r="B158" s="23"/>
      <c r="D158" s="23"/>
      <c r="H158" s="23"/>
      <c r="I158" s="23"/>
      <c r="J158" s="23"/>
      <c r="L158" s="23"/>
      <c r="M158" s="23"/>
      <c r="N158" s="23"/>
      <c r="O158" s="23"/>
      <c r="P158" s="23"/>
      <c r="Q158" s="24"/>
      <c r="R158" s="24"/>
      <c r="T158" s="23"/>
      <c r="U158" s="23"/>
      <c r="V158" s="23"/>
      <c r="X158" s="23"/>
      <c r="Y158" s="23"/>
      <c r="Z158" s="23"/>
    </row>
    <row r="159" ht="15.75" customHeight="1">
      <c r="A159" s="23"/>
      <c r="B159" s="23"/>
      <c r="D159" s="23"/>
      <c r="H159" s="23"/>
      <c r="I159" s="23"/>
      <c r="J159" s="23"/>
      <c r="L159" s="23"/>
      <c r="M159" s="23"/>
      <c r="N159" s="23"/>
      <c r="O159" s="23"/>
      <c r="P159" s="23"/>
      <c r="Q159" s="24"/>
      <c r="R159" s="24"/>
      <c r="T159" s="23"/>
      <c r="U159" s="23"/>
      <c r="V159" s="23"/>
      <c r="X159" s="23"/>
      <c r="Y159" s="23"/>
      <c r="Z159" s="23"/>
    </row>
    <row r="160" ht="15.75" customHeight="1">
      <c r="A160" s="23"/>
      <c r="B160" s="23"/>
      <c r="D160" s="23"/>
      <c r="H160" s="23"/>
      <c r="I160" s="23"/>
      <c r="J160" s="23"/>
      <c r="L160" s="23"/>
      <c r="M160" s="23"/>
      <c r="N160" s="23"/>
      <c r="O160" s="23"/>
      <c r="P160" s="23"/>
      <c r="Q160" s="24"/>
      <c r="R160" s="24"/>
      <c r="T160" s="23"/>
      <c r="U160" s="23"/>
      <c r="V160" s="23"/>
      <c r="X160" s="23"/>
      <c r="Y160" s="23"/>
      <c r="Z160" s="23"/>
    </row>
    <row r="161" ht="15.75" customHeight="1">
      <c r="A161" s="23"/>
      <c r="B161" s="23"/>
      <c r="D161" s="23"/>
      <c r="H161" s="23"/>
      <c r="I161" s="23"/>
      <c r="J161" s="23"/>
      <c r="L161" s="23"/>
      <c r="M161" s="23"/>
      <c r="N161" s="23"/>
      <c r="O161" s="23"/>
      <c r="P161" s="23"/>
      <c r="Q161" s="24"/>
      <c r="R161" s="24"/>
      <c r="T161" s="23"/>
      <c r="U161" s="23"/>
      <c r="V161" s="23"/>
      <c r="X161" s="23"/>
      <c r="Y161" s="23"/>
      <c r="Z161" s="23"/>
    </row>
    <row r="162" ht="15.75" customHeight="1">
      <c r="A162" s="23"/>
      <c r="B162" s="23"/>
      <c r="D162" s="23"/>
      <c r="H162" s="23"/>
      <c r="I162" s="23"/>
      <c r="J162" s="23"/>
      <c r="L162" s="23"/>
      <c r="M162" s="23"/>
      <c r="N162" s="23"/>
      <c r="O162" s="23"/>
      <c r="P162" s="23"/>
      <c r="Q162" s="24"/>
      <c r="R162" s="24"/>
      <c r="T162" s="23"/>
      <c r="U162" s="23"/>
      <c r="V162" s="23"/>
      <c r="X162" s="23"/>
      <c r="Y162" s="23"/>
      <c r="Z162" s="23"/>
    </row>
    <row r="163" ht="15.75" customHeight="1">
      <c r="A163" s="23"/>
      <c r="B163" s="23"/>
      <c r="D163" s="23"/>
      <c r="H163" s="23"/>
      <c r="I163" s="23"/>
      <c r="J163" s="23"/>
      <c r="L163" s="23"/>
      <c r="M163" s="23"/>
      <c r="N163" s="23"/>
      <c r="O163" s="23"/>
      <c r="P163" s="23"/>
      <c r="Q163" s="24"/>
      <c r="R163" s="24"/>
      <c r="T163" s="23"/>
      <c r="U163" s="23"/>
      <c r="V163" s="23"/>
      <c r="X163" s="23"/>
      <c r="Y163" s="23"/>
      <c r="Z163" s="23"/>
    </row>
    <row r="164" ht="15.75" customHeight="1">
      <c r="A164" s="23"/>
      <c r="B164" s="23"/>
      <c r="D164" s="23"/>
      <c r="H164" s="23"/>
      <c r="I164" s="23"/>
      <c r="J164" s="23"/>
      <c r="L164" s="23"/>
      <c r="M164" s="23"/>
      <c r="N164" s="23"/>
      <c r="O164" s="23"/>
      <c r="P164" s="23"/>
      <c r="Q164" s="24"/>
      <c r="R164" s="24"/>
      <c r="T164" s="23"/>
      <c r="U164" s="23"/>
      <c r="V164" s="23"/>
      <c r="X164" s="23"/>
      <c r="Y164" s="23"/>
      <c r="Z164" s="23"/>
    </row>
    <row r="165" ht="15.75" customHeight="1">
      <c r="A165" s="23"/>
      <c r="B165" s="23"/>
      <c r="D165" s="23"/>
      <c r="H165" s="23"/>
      <c r="I165" s="23"/>
      <c r="J165" s="23"/>
      <c r="L165" s="23"/>
      <c r="M165" s="23"/>
      <c r="N165" s="23"/>
      <c r="O165" s="23"/>
      <c r="P165" s="23"/>
      <c r="Q165" s="24"/>
      <c r="R165" s="24"/>
      <c r="T165" s="23"/>
      <c r="U165" s="23"/>
      <c r="V165" s="23"/>
      <c r="X165" s="23"/>
      <c r="Y165" s="23"/>
      <c r="Z165" s="23"/>
    </row>
    <row r="166" ht="15.75" customHeight="1">
      <c r="A166" s="23"/>
      <c r="B166" s="23"/>
      <c r="D166" s="23"/>
      <c r="H166" s="23"/>
      <c r="I166" s="23"/>
      <c r="J166" s="23"/>
      <c r="L166" s="23"/>
      <c r="M166" s="23"/>
      <c r="N166" s="23"/>
      <c r="O166" s="23"/>
      <c r="P166" s="23"/>
      <c r="Q166" s="24"/>
      <c r="R166" s="24"/>
      <c r="T166" s="23"/>
      <c r="U166" s="23"/>
      <c r="V166" s="23"/>
      <c r="X166" s="23"/>
      <c r="Y166" s="23"/>
      <c r="Z166" s="23"/>
    </row>
    <row r="167" ht="15.75" customHeight="1">
      <c r="A167" s="23"/>
      <c r="B167" s="23"/>
      <c r="D167" s="23"/>
      <c r="H167" s="23"/>
      <c r="I167" s="23"/>
      <c r="J167" s="23"/>
      <c r="L167" s="23"/>
      <c r="M167" s="23"/>
      <c r="N167" s="23"/>
      <c r="O167" s="23"/>
      <c r="P167" s="23"/>
      <c r="Q167" s="24"/>
      <c r="R167" s="24"/>
      <c r="T167" s="23"/>
      <c r="U167" s="23"/>
      <c r="V167" s="23"/>
      <c r="X167" s="23"/>
      <c r="Y167" s="23"/>
      <c r="Z167" s="23"/>
    </row>
    <row r="168" ht="15.75" customHeight="1">
      <c r="A168" s="23"/>
      <c r="B168" s="23"/>
      <c r="D168" s="23"/>
      <c r="H168" s="23"/>
      <c r="I168" s="23"/>
      <c r="J168" s="23"/>
      <c r="L168" s="23"/>
      <c r="M168" s="23"/>
      <c r="N168" s="23"/>
      <c r="O168" s="23"/>
      <c r="P168" s="23"/>
      <c r="Q168" s="24"/>
      <c r="R168" s="24"/>
      <c r="T168" s="23"/>
      <c r="U168" s="23"/>
      <c r="V168" s="23"/>
      <c r="X168" s="23"/>
      <c r="Y168" s="23"/>
      <c r="Z168" s="23"/>
    </row>
    <row r="169" ht="15.75" customHeight="1">
      <c r="A169" s="23"/>
      <c r="B169" s="23"/>
      <c r="D169" s="23"/>
      <c r="H169" s="23"/>
      <c r="I169" s="23"/>
      <c r="J169" s="23"/>
      <c r="L169" s="23"/>
      <c r="M169" s="23"/>
      <c r="N169" s="23"/>
      <c r="O169" s="23"/>
      <c r="P169" s="23"/>
      <c r="Q169" s="24"/>
      <c r="R169" s="24"/>
      <c r="T169" s="23"/>
      <c r="U169" s="23"/>
      <c r="V169" s="23"/>
      <c r="X169" s="23"/>
      <c r="Y169" s="23"/>
      <c r="Z169" s="23"/>
    </row>
    <row r="170" ht="15.75" customHeight="1">
      <c r="A170" s="23"/>
      <c r="B170" s="23"/>
      <c r="D170" s="23"/>
      <c r="H170" s="23"/>
      <c r="I170" s="23"/>
      <c r="J170" s="23"/>
      <c r="L170" s="23"/>
      <c r="M170" s="23"/>
      <c r="N170" s="23"/>
      <c r="O170" s="23"/>
      <c r="P170" s="23"/>
      <c r="Q170" s="24"/>
      <c r="R170" s="24"/>
      <c r="T170" s="23"/>
      <c r="U170" s="23"/>
      <c r="V170" s="23"/>
      <c r="X170" s="23"/>
      <c r="Y170" s="23"/>
      <c r="Z170" s="23"/>
    </row>
    <row r="171" ht="15.75" customHeight="1">
      <c r="A171" s="23"/>
      <c r="B171" s="23"/>
      <c r="D171" s="23"/>
      <c r="H171" s="23"/>
      <c r="I171" s="23"/>
      <c r="J171" s="23"/>
      <c r="L171" s="23"/>
      <c r="M171" s="23"/>
      <c r="N171" s="23"/>
      <c r="O171" s="23"/>
      <c r="P171" s="23"/>
      <c r="Q171" s="24"/>
      <c r="R171" s="24"/>
      <c r="T171" s="23"/>
      <c r="U171" s="23"/>
      <c r="V171" s="23"/>
      <c r="X171" s="23"/>
      <c r="Y171" s="23"/>
      <c r="Z171" s="23"/>
    </row>
    <row r="172" ht="15.75" customHeight="1">
      <c r="A172" s="23"/>
      <c r="B172" s="23"/>
      <c r="D172" s="23"/>
      <c r="H172" s="23"/>
      <c r="I172" s="23"/>
      <c r="J172" s="23"/>
      <c r="L172" s="23"/>
      <c r="M172" s="23"/>
      <c r="N172" s="23"/>
      <c r="O172" s="23"/>
      <c r="P172" s="23"/>
      <c r="Q172" s="24"/>
      <c r="R172" s="24"/>
      <c r="T172" s="23"/>
      <c r="U172" s="23"/>
      <c r="V172" s="23"/>
      <c r="X172" s="23"/>
      <c r="Y172" s="23"/>
      <c r="Z172" s="23"/>
    </row>
    <row r="173" ht="15.75" customHeight="1">
      <c r="A173" s="23"/>
      <c r="B173" s="23"/>
      <c r="D173" s="23"/>
      <c r="H173" s="23"/>
      <c r="I173" s="23"/>
      <c r="J173" s="23"/>
      <c r="L173" s="23"/>
      <c r="M173" s="23"/>
      <c r="N173" s="23"/>
      <c r="O173" s="23"/>
      <c r="P173" s="23"/>
      <c r="Q173" s="24"/>
      <c r="R173" s="24"/>
      <c r="T173" s="23"/>
      <c r="U173" s="23"/>
      <c r="V173" s="23"/>
      <c r="X173" s="23"/>
      <c r="Y173" s="23"/>
      <c r="Z173" s="23"/>
    </row>
    <row r="174" ht="15.75" customHeight="1">
      <c r="A174" s="23"/>
      <c r="B174" s="23"/>
      <c r="D174" s="23"/>
      <c r="H174" s="23"/>
      <c r="I174" s="23"/>
      <c r="J174" s="23"/>
      <c r="L174" s="23"/>
      <c r="M174" s="23"/>
      <c r="N174" s="23"/>
      <c r="O174" s="23"/>
      <c r="P174" s="23"/>
      <c r="Q174" s="24"/>
      <c r="R174" s="24"/>
      <c r="T174" s="23"/>
      <c r="U174" s="23"/>
      <c r="V174" s="23"/>
      <c r="X174" s="23"/>
      <c r="Y174" s="23"/>
      <c r="Z174" s="23"/>
    </row>
    <row r="175" ht="15.75" customHeight="1">
      <c r="A175" s="23"/>
      <c r="B175" s="23"/>
      <c r="D175" s="23"/>
      <c r="H175" s="23"/>
      <c r="I175" s="23"/>
      <c r="J175" s="23"/>
      <c r="L175" s="23"/>
      <c r="M175" s="23"/>
      <c r="N175" s="23"/>
      <c r="O175" s="23"/>
      <c r="P175" s="23"/>
      <c r="Q175" s="24"/>
      <c r="R175" s="24"/>
      <c r="T175" s="23"/>
      <c r="U175" s="23"/>
      <c r="V175" s="23"/>
      <c r="X175" s="23"/>
      <c r="Y175" s="23"/>
      <c r="Z175" s="23"/>
    </row>
    <row r="176" ht="15.75" customHeight="1">
      <c r="A176" s="23"/>
      <c r="B176" s="23"/>
      <c r="D176" s="23"/>
      <c r="H176" s="23"/>
      <c r="I176" s="23"/>
      <c r="J176" s="23"/>
      <c r="L176" s="23"/>
      <c r="M176" s="23"/>
      <c r="N176" s="23"/>
      <c r="O176" s="23"/>
      <c r="P176" s="23"/>
      <c r="Q176" s="24"/>
      <c r="R176" s="24"/>
      <c r="T176" s="23"/>
      <c r="U176" s="23"/>
      <c r="V176" s="23"/>
      <c r="X176" s="23"/>
      <c r="Y176" s="23"/>
      <c r="Z176" s="23"/>
    </row>
    <row r="177" ht="15.75" customHeight="1">
      <c r="A177" s="23"/>
      <c r="B177" s="23"/>
      <c r="D177" s="23"/>
      <c r="H177" s="23"/>
      <c r="I177" s="23"/>
      <c r="J177" s="23"/>
      <c r="L177" s="23"/>
      <c r="M177" s="23"/>
      <c r="N177" s="23"/>
      <c r="O177" s="23"/>
      <c r="P177" s="23"/>
      <c r="Q177" s="24"/>
      <c r="R177" s="24"/>
      <c r="T177" s="23"/>
      <c r="U177" s="23"/>
      <c r="V177" s="23"/>
      <c r="X177" s="23"/>
      <c r="Y177" s="23"/>
      <c r="Z177" s="23"/>
    </row>
    <row r="178" ht="15.75" customHeight="1">
      <c r="A178" s="23"/>
      <c r="B178" s="23"/>
      <c r="D178" s="23"/>
      <c r="H178" s="23"/>
      <c r="I178" s="23"/>
      <c r="J178" s="23"/>
      <c r="L178" s="23"/>
      <c r="M178" s="23"/>
      <c r="N178" s="23"/>
      <c r="O178" s="23"/>
      <c r="P178" s="23"/>
      <c r="Q178" s="24"/>
      <c r="R178" s="24"/>
      <c r="T178" s="23"/>
      <c r="U178" s="23"/>
      <c r="V178" s="23"/>
      <c r="X178" s="23"/>
      <c r="Y178" s="23"/>
      <c r="Z178" s="23"/>
    </row>
    <row r="179" ht="15.75" customHeight="1">
      <c r="A179" s="23"/>
      <c r="B179" s="23"/>
      <c r="D179" s="23"/>
      <c r="H179" s="23"/>
      <c r="I179" s="23"/>
      <c r="J179" s="23"/>
      <c r="L179" s="23"/>
      <c r="M179" s="23"/>
      <c r="N179" s="23"/>
      <c r="O179" s="23"/>
      <c r="P179" s="23"/>
      <c r="Q179" s="24"/>
      <c r="R179" s="24"/>
      <c r="T179" s="23"/>
      <c r="U179" s="23"/>
      <c r="V179" s="23"/>
      <c r="X179" s="23"/>
      <c r="Y179" s="23"/>
      <c r="Z179" s="23"/>
    </row>
    <row r="180" ht="15.75" customHeight="1">
      <c r="A180" s="23"/>
      <c r="B180" s="23"/>
      <c r="D180" s="23"/>
      <c r="H180" s="23"/>
      <c r="I180" s="23"/>
      <c r="J180" s="23"/>
      <c r="L180" s="23"/>
      <c r="M180" s="23"/>
      <c r="N180" s="23"/>
      <c r="O180" s="23"/>
      <c r="P180" s="23"/>
      <c r="Q180" s="24"/>
      <c r="R180" s="24"/>
      <c r="T180" s="23"/>
      <c r="U180" s="23"/>
      <c r="V180" s="23"/>
      <c r="X180" s="23"/>
      <c r="Y180" s="23"/>
      <c r="Z180" s="23"/>
    </row>
    <row r="181" ht="15.75" customHeight="1">
      <c r="A181" s="23"/>
      <c r="B181" s="23"/>
      <c r="D181" s="23"/>
      <c r="H181" s="23"/>
      <c r="I181" s="23"/>
      <c r="J181" s="23"/>
      <c r="L181" s="23"/>
      <c r="M181" s="23"/>
      <c r="N181" s="23"/>
      <c r="O181" s="23"/>
      <c r="P181" s="23"/>
      <c r="Q181" s="24"/>
      <c r="R181" s="24"/>
      <c r="T181" s="23"/>
      <c r="U181" s="23"/>
      <c r="V181" s="23"/>
      <c r="X181" s="23"/>
      <c r="Y181" s="23"/>
      <c r="Z181" s="23"/>
    </row>
    <row r="182" ht="15.75" customHeight="1">
      <c r="A182" s="23"/>
      <c r="B182" s="23"/>
      <c r="D182" s="23"/>
      <c r="H182" s="23"/>
      <c r="I182" s="23"/>
      <c r="J182" s="23"/>
      <c r="L182" s="23"/>
      <c r="M182" s="23"/>
      <c r="N182" s="23"/>
      <c r="O182" s="23"/>
      <c r="P182" s="23"/>
      <c r="Q182" s="24"/>
      <c r="R182" s="24"/>
      <c r="T182" s="23"/>
      <c r="U182" s="23"/>
      <c r="V182" s="23"/>
      <c r="X182" s="23"/>
      <c r="Y182" s="23"/>
      <c r="Z182" s="23"/>
    </row>
    <row r="183" ht="15.75" customHeight="1">
      <c r="A183" s="23"/>
      <c r="B183" s="23"/>
      <c r="D183" s="23"/>
      <c r="H183" s="23"/>
      <c r="I183" s="23"/>
      <c r="J183" s="23"/>
      <c r="L183" s="23"/>
      <c r="M183" s="23"/>
      <c r="N183" s="23"/>
      <c r="O183" s="23"/>
      <c r="P183" s="23"/>
      <c r="Q183" s="24"/>
      <c r="R183" s="24"/>
      <c r="T183" s="23"/>
      <c r="U183" s="23"/>
      <c r="V183" s="23"/>
      <c r="X183" s="23"/>
      <c r="Y183" s="23"/>
      <c r="Z183" s="23"/>
    </row>
    <row r="184" ht="15.75" customHeight="1">
      <c r="A184" s="23"/>
      <c r="B184" s="23"/>
      <c r="D184" s="23"/>
      <c r="H184" s="23"/>
      <c r="I184" s="23"/>
      <c r="J184" s="23"/>
      <c r="L184" s="23"/>
      <c r="M184" s="23"/>
      <c r="N184" s="23"/>
      <c r="O184" s="23"/>
      <c r="P184" s="23"/>
      <c r="Q184" s="24"/>
      <c r="R184" s="24"/>
      <c r="T184" s="23"/>
      <c r="U184" s="23"/>
      <c r="V184" s="23"/>
      <c r="X184" s="23"/>
      <c r="Y184" s="23"/>
      <c r="Z184" s="23"/>
    </row>
    <row r="185" ht="15.75" customHeight="1">
      <c r="A185" s="23"/>
      <c r="B185" s="23"/>
      <c r="D185" s="23"/>
      <c r="H185" s="23"/>
      <c r="I185" s="23"/>
      <c r="J185" s="23"/>
      <c r="L185" s="23"/>
      <c r="M185" s="23"/>
      <c r="N185" s="23"/>
      <c r="O185" s="23"/>
      <c r="P185" s="23"/>
      <c r="Q185" s="24"/>
      <c r="R185" s="24"/>
      <c r="T185" s="23"/>
      <c r="U185" s="23"/>
      <c r="V185" s="23"/>
      <c r="X185" s="23"/>
      <c r="Y185" s="23"/>
      <c r="Z185" s="23"/>
    </row>
    <row r="186" ht="15.75" customHeight="1">
      <c r="A186" s="23"/>
      <c r="B186" s="23"/>
      <c r="D186" s="23"/>
      <c r="H186" s="23"/>
      <c r="I186" s="23"/>
      <c r="J186" s="23"/>
      <c r="L186" s="23"/>
      <c r="M186" s="23"/>
      <c r="N186" s="23"/>
      <c r="O186" s="23"/>
      <c r="P186" s="23"/>
      <c r="Q186" s="24"/>
      <c r="R186" s="24"/>
      <c r="T186" s="23"/>
      <c r="U186" s="23"/>
      <c r="V186" s="23"/>
      <c r="X186" s="23"/>
      <c r="Y186" s="23"/>
      <c r="Z186" s="23"/>
    </row>
    <row r="187" ht="15.75" customHeight="1">
      <c r="A187" s="23"/>
      <c r="B187" s="23"/>
      <c r="D187" s="23"/>
      <c r="H187" s="23"/>
      <c r="I187" s="23"/>
      <c r="J187" s="23"/>
      <c r="L187" s="23"/>
      <c r="M187" s="23"/>
      <c r="N187" s="23"/>
      <c r="O187" s="23"/>
      <c r="P187" s="23"/>
      <c r="Q187" s="24"/>
      <c r="R187" s="24"/>
      <c r="T187" s="23"/>
      <c r="U187" s="23"/>
      <c r="V187" s="23"/>
      <c r="X187" s="23"/>
      <c r="Y187" s="23"/>
      <c r="Z187" s="23"/>
    </row>
    <row r="188" ht="15.75" customHeight="1">
      <c r="A188" s="23"/>
      <c r="B188" s="23"/>
      <c r="D188" s="23"/>
      <c r="H188" s="23"/>
      <c r="I188" s="23"/>
      <c r="J188" s="23"/>
      <c r="L188" s="23"/>
      <c r="M188" s="23"/>
      <c r="N188" s="23"/>
      <c r="O188" s="23"/>
      <c r="P188" s="23"/>
      <c r="Q188" s="24"/>
      <c r="R188" s="24"/>
      <c r="T188" s="23"/>
      <c r="U188" s="23"/>
      <c r="V188" s="23"/>
      <c r="X188" s="23"/>
      <c r="Y188" s="23"/>
      <c r="Z188" s="23"/>
    </row>
    <row r="189" ht="15.75" customHeight="1">
      <c r="A189" s="23"/>
      <c r="B189" s="23"/>
      <c r="D189" s="23"/>
      <c r="H189" s="23"/>
      <c r="I189" s="23"/>
      <c r="J189" s="23"/>
      <c r="L189" s="23"/>
      <c r="M189" s="23"/>
      <c r="N189" s="23"/>
      <c r="O189" s="23"/>
      <c r="P189" s="23"/>
      <c r="Q189" s="24"/>
      <c r="R189" s="24"/>
      <c r="T189" s="23"/>
      <c r="U189" s="23"/>
      <c r="V189" s="23"/>
      <c r="X189" s="23"/>
      <c r="Y189" s="23"/>
      <c r="Z189" s="23"/>
    </row>
    <row r="190" ht="15.75" customHeight="1">
      <c r="A190" s="23"/>
      <c r="B190" s="23"/>
      <c r="D190" s="23"/>
      <c r="H190" s="23"/>
      <c r="I190" s="23"/>
      <c r="J190" s="23"/>
      <c r="L190" s="23"/>
      <c r="M190" s="23"/>
      <c r="N190" s="23"/>
      <c r="O190" s="23"/>
      <c r="P190" s="23"/>
      <c r="Q190" s="24"/>
      <c r="R190" s="24"/>
      <c r="T190" s="23"/>
      <c r="U190" s="23"/>
      <c r="V190" s="23"/>
      <c r="X190" s="23"/>
      <c r="Y190" s="23"/>
      <c r="Z190" s="23"/>
    </row>
    <row r="191" ht="15.75" customHeight="1">
      <c r="A191" s="23"/>
      <c r="B191" s="23"/>
      <c r="D191" s="23"/>
      <c r="H191" s="23"/>
      <c r="I191" s="23"/>
      <c r="J191" s="23"/>
      <c r="L191" s="23"/>
      <c r="M191" s="23"/>
      <c r="N191" s="23"/>
      <c r="O191" s="23"/>
      <c r="P191" s="23"/>
      <c r="Q191" s="24"/>
      <c r="R191" s="24"/>
      <c r="T191" s="23"/>
      <c r="U191" s="23"/>
      <c r="V191" s="23"/>
      <c r="X191" s="23"/>
      <c r="Y191" s="23"/>
      <c r="Z191" s="23"/>
    </row>
    <row r="192" ht="15.75" customHeight="1">
      <c r="A192" s="23"/>
      <c r="B192" s="23"/>
      <c r="D192" s="23"/>
      <c r="H192" s="23"/>
      <c r="I192" s="23"/>
      <c r="J192" s="23"/>
      <c r="L192" s="23"/>
      <c r="M192" s="23"/>
      <c r="N192" s="23"/>
      <c r="O192" s="23"/>
      <c r="P192" s="23"/>
      <c r="Q192" s="24"/>
      <c r="R192" s="24"/>
      <c r="T192" s="23"/>
      <c r="U192" s="23"/>
      <c r="V192" s="23"/>
      <c r="X192" s="23"/>
      <c r="Y192" s="23"/>
      <c r="Z192" s="23"/>
    </row>
    <row r="193" ht="15.75" customHeight="1">
      <c r="A193" s="23"/>
      <c r="B193" s="23"/>
      <c r="D193" s="23"/>
      <c r="H193" s="23"/>
      <c r="I193" s="23"/>
      <c r="J193" s="23"/>
      <c r="L193" s="23"/>
      <c r="M193" s="23"/>
      <c r="N193" s="23"/>
      <c r="O193" s="23"/>
      <c r="P193" s="23"/>
      <c r="Q193" s="24"/>
      <c r="R193" s="24"/>
      <c r="T193" s="23"/>
      <c r="U193" s="23"/>
      <c r="V193" s="23"/>
      <c r="X193" s="23"/>
      <c r="Y193" s="23"/>
      <c r="Z193" s="23"/>
    </row>
    <row r="194" ht="15.75" customHeight="1">
      <c r="A194" s="23"/>
      <c r="B194" s="23"/>
      <c r="D194" s="23"/>
      <c r="H194" s="23"/>
      <c r="I194" s="23"/>
      <c r="J194" s="23"/>
      <c r="L194" s="23"/>
      <c r="M194" s="23"/>
      <c r="N194" s="23"/>
      <c r="O194" s="23"/>
      <c r="P194" s="23"/>
      <c r="Q194" s="24"/>
      <c r="R194" s="24"/>
      <c r="T194" s="23"/>
      <c r="U194" s="23"/>
      <c r="V194" s="23"/>
      <c r="X194" s="23"/>
      <c r="Y194" s="23"/>
      <c r="Z194" s="23"/>
    </row>
    <row r="195" ht="15.75" customHeight="1">
      <c r="A195" s="23"/>
      <c r="B195" s="23"/>
      <c r="D195" s="23"/>
      <c r="H195" s="23"/>
      <c r="I195" s="23"/>
      <c r="J195" s="23"/>
      <c r="L195" s="23"/>
      <c r="M195" s="23"/>
      <c r="N195" s="23"/>
      <c r="O195" s="23"/>
      <c r="P195" s="23"/>
      <c r="Q195" s="24"/>
      <c r="R195" s="24"/>
      <c r="T195" s="23"/>
      <c r="U195" s="23"/>
      <c r="V195" s="23"/>
      <c r="X195" s="23"/>
      <c r="Y195" s="23"/>
      <c r="Z195" s="23"/>
    </row>
    <row r="196" ht="15.75" customHeight="1">
      <c r="A196" s="23"/>
      <c r="B196" s="23"/>
      <c r="D196" s="23"/>
      <c r="H196" s="23"/>
      <c r="I196" s="23"/>
      <c r="J196" s="23"/>
      <c r="L196" s="23"/>
      <c r="M196" s="23"/>
      <c r="N196" s="23"/>
      <c r="O196" s="23"/>
      <c r="P196" s="23"/>
      <c r="Q196" s="24"/>
      <c r="R196" s="24"/>
      <c r="T196" s="23"/>
      <c r="U196" s="23"/>
      <c r="V196" s="23"/>
      <c r="X196" s="23"/>
      <c r="Y196" s="23"/>
      <c r="Z196" s="23"/>
    </row>
    <row r="197" ht="15.75" customHeight="1">
      <c r="A197" s="23"/>
      <c r="B197" s="23"/>
      <c r="D197" s="23"/>
      <c r="H197" s="23"/>
      <c r="I197" s="23"/>
      <c r="J197" s="23"/>
      <c r="L197" s="23"/>
      <c r="M197" s="23"/>
      <c r="N197" s="23"/>
      <c r="O197" s="23"/>
      <c r="P197" s="23"/>
      <c r="Q197" s="24"/>
      <c r="R197" s="24"/>
      <c r="T197" s="23"/>
      <c r="U197" s="23"/>
      <c r="V197" s="23"/>
      <c r="X197" s="23"/>
      <c r="Y197" s="23"/>
      <c r="Z197" s="23"/>
    </row>
    <row r="198" ht="15.75" customHeight="1">
      <c r="A198" s="23"/>
      <c r="B198" s="23"/>
      <c r="D198" s="23"/>
      <c r="H198" s="23"/>
      <c r="I198" s="23"/>
      <c r="J198" s="23"/>
      <c r="L198" s="23"/>
      <c r="M198" s="23"/>
      <c r="N198" s="23"/>
      <c r="O198" s="23"/>
      <c r="P198" s="23"/>
      <c r="Q198" s="24"/>
      <c r="R198" s="24"/>
      <c r="T198" s="23"/>
      <c r="U198" s="23"/>
      <c r="V198" s="23"/>
      <c r="X198" s="23"/>
      <c r="Y198" s="23"/>
      <c r="Z198" s="23"/>
    </row>
    <row r="199" ht="15.75" customHeight="1">
      <c r="A199" s="23"/>
      <c r="B199" s="23"/>
      <c r="D199" s="23"/>
      <c r="H199" s="23"/>
      <c r="I199" s="23"/>
      <c r="J199" s="23"/>
      <c r="L199" s="23"/>
      <c r="M199" s="23"/>
      <c r="N199" s="23"/>
      <c r="O199" s="23"/>
      <c r="P199" s="23"/>
      <c r="Q199" s="24"/>
      <c r="R199" s="24"/>
      <c r="T199" s="23"/>
      <c r="U199" s="23"/>
      <c r="V199" s="23"/>
      <c r="X199" s="23"/>
      <c r="Y199" s="23"/>
      <c r="Z199" s="23"/>
    </row>
    <row r="200" ht="15.75" customHeight="1">
      <c r="A200" s="23"/>
      <c r="B200" s="23"/>
      <c r="D200" s="23"/>
      <c r="H200" s="23"/>
      <c r="I200" s="23"/>
      <c r="J200" s="23"/>
      <c r="L200" s="23"/>
      <c r="M200" s="23"/>
      <c r="N200" s="23"/>
      <c r="O200" s="23"/>
      <c r="P200" s="23"/>
      <c r="Q200" s="24"/>
      <c r="R200" s="24"/>
      <c r="T200" s="23"/>
      <c r="U200" s="23"/>
      <c r="V200" s="23"/>
      <c r="X200" s="23"/>
      <c r="Y200" s="23"/>
      <c r="Z200" s="23"/>
    </row>
    <row r="201" ht="15.75" customHeight="1">
      <c r="A201" s="23"/>
      <c r="B201" s="23"/>
      <c r="D201" s="23"/>
      <c r="H201" s="23"/>
      <c r="I201" s="23"/>
      <c r="J201" s="23"/>
      <c r="L201" s="23"/>
      <c r="M201" s="23"/>
      <c r="N201" s="23"/>
      <c r="O201" s="23"/>
      <c r="P201" s="23"/>
      <c r="Q201" s="24"/>
      <c r="R201" s="24"/>
      <c r="T201" s="23"/>
      <c r="U201" s="23"/>
      <c r="V201" s="23"/>
      <c r="X201" s="23"/>
      <c r="Y201" s="23"/>
      <c r="Z201" s="23"/>
    </row>
    <row r="202" ht="15.75" customHeight="1">
      <c r="A202" s="23"/>
      <c r="B202" s="23"/>
      <c r="D202" s="23"/>
      <c r="H202" s="23"/>
      <c r="I202" s="23"/>
      <c r="J202" s="23"/>
      <c r="L202" s="23"/>
      <c r="M202" s="23"/>
      <c r="N202" s="23"/>
      <c r="O202" s="23"/>
      <c r="P202" s="23"/>
      <c r="Q202" s="24"/>
      <c r="R202" s="24"/>
      <c r="T202" s="23"/>
      <c r="U202" s="23"/>
      <c r="V202" s="23"/>
      <c r="X202" s="23"/>
      <c r="Y202" s="23"/>
      <c r="Z202" s="23"/>
    </row>
    <row r="203" ht="15.75" customHeight="1">
      <c r="A203" s="23"/>
      <c r="B203" s="23"/>
      <c r="D203" s="23"/>
      <c r="H203" s="23"/>
      <c r="I203" s="23"/>
      <c r="J203" s="23"/>
      <c r="L203" s="23"/>
      <c r="M203" s="23"/>
      <c r="N203" s="23"/>
      <c r="O203" s="23"/>
      <c r="P203" s="23"/>
      <c r="Q203" s="24"/>
      <c r="R203" s="24"/>
      <c r="T203" s="23"/>
      <c r="U203" s="23"/>
      <c r="V203" s="23"/>
      <c r="X203" s="23"/>
      <c r="Y203" s="23"/>
      <c r="Z203" s="23"/>
    </row>
    <row r="204" ht="15.75" customHeight="1">
      <c r="A204" s="23"/>
      <c r="B204" s="23"/>
      <c r="D204" s="23"/>
      <c r="H204" s="23"/>
      <c r="I204" s="23"/>
      <c r="J204" s="23"/>
      <c r="L204" s="23"/>
      <c r="M204" s="23"/>
      <c r="N204" s="23"/>
      <c r="O204" s="23"/>
      <c r="P204" s="23"/>
      <c r="Q204" s="24"/>
      <c r="R204" s="24"/>
      <c r="T204" s="23"/>
      <c r="U204" s="23"/>
      <c r="V204" s="23"/>
      <c r="X204" s="23"/>
      <c r="Y204" s="23"/>
      <c r="Z204" s="23"/>
    </row>
    <row r="205" ht="15.75" customHeight="1">
      <c r="A205" s="23"/>
      <c r="B205" s="23"/>
      <c r="D205" s="23"/>
      <c r="H205" s="23"/>
      <c r="I205" s="23"/>
      <c r="J205" s="23"/>
      <c r="L205" s="23"/>
      <c r="M205" s="23"/>
      <c r="N205" s="23"/>
      <c r="O205" s="23"/>
      <c r="P205" s="23"/>
      <c r="Q205" s="24"/>
      <c r="R205" s="24"/>
      <c r="T205" s="23"/>
      <c r="U205" s="23"/>
      <c r="V205" s="23"/>
      <c r="X205" s="23"/>
      <c r="Y205" s="23"/>
      <c r="Z205" s="23"/>
    </row>
    <row r="206" ht="15.75" customHeight="1">
      <c r="A206" s="23"/>
      <c r="B206" s="23"/>
      <c r="D206" s="23"/>
      <c r="H206" s="23"/>
      <c r="I206" s="23"/>
      <c r="J206" s="23"/>
      <c r="L206" s="23"/>
      <c r="M206" s="23"/>
      <c r="N206" s="23"/>
      <c r="O206" s="23"/>
      <c r="P206" s="23"/>
      <c r="Q206" s="24"/>
      <c r="R206" s="24"/>
      <c r="T206" s="23"/>
      <c r="U206" s="23"/>
      <c r="V206" s="23"/>
      <c r="X206" s="23"/>
      <c r="Y206" s="23"/>
      <c r="Z206" s="23"/>
    </row>
    <row r="207" ht="15.75" customHeight="1">
      <c r="A207" s="23"/>
      <c r="B207" s="23"/>
      <c r="D207" s="23"/>
      <c r="H207" s="23"/>
      <c r="I207" s="23"/>
      <c r="J207" s="23"/>
      <c r="L207" s="23"/>
      <c r="M207" s="23"/>
      <c r="N207" s="23"/>
      <c r="O207" s="23"/>
      <c r="P207" s="23"/>
      <c r="Q207" s="24"/>
      <c r="R207" s="24"/>
      <c r="T207" s="23"/>
      <c r="U207" s="23"/>
      <c r="V207" s="23"/>
      <c r="X207" s="23"/>
      <c r="Y207" s="23"/>
      <c r="Z207" s="23"/>
    </row>
    <row r="208" ht="15.75" customHeight="1">
      <c r="A208" s="23"/>
      <c r="B208" s="23"/>
      <c r="D208" s="23"/>
      <c r="H208" s="23"/>
      <c r="I208" s="23"/>
      <c r="J208" s="23"/>
      <c r="L208" s="23"/>
      <c r="M208" s="23"/>
      <c r="N208" s="23"/>
      <c r="O208" s="23"/>
      <c r="P208" s="23"/>
      <c r="Q208" s="24"/>
      <c r="R208" s="24"/>
      <c r="T208" s="23"/>
      <c r="U208" s="23"/>
      <c r="V208" s="23"/>
      <c r="X208" s="23"/>
      <c r="Y208" s="23"/>
      <c r="Z208" s="23"/>
    </row>
    <row r="209" ht="15.75" customHeight="1">
      <c r="A209" s="23"/>
      <c r="B209" s="23"/>
      <c r="D209" s="23"/>
      <c r="H209" s="23"/>
      <c r="I209" s="23"/>
      <c r="J209" s="23"/>
      <c r="L209" s="23"/>
      <c r="M209" s="23"/>
      <c r="N209" s="23"/>
      <c r="O209" s="23"/>
      <c r="P209" s="23"/>
      <c r="Q209" s="24"/>
      <c r="R209" s="24"/>
      <c r="T209" s="23"/>
      <c r="U209" s="23"/>
      <c r="V209" s="23"/>
      <c r="X209" s="23"/>
      <c r="Y209" s="23"/>
      <c r="Z209" s="23"/>
    </row>
    <row r="210" ht="15.75" customHeight="1">
      <c r="A210" s="23"/>
      <c r="B210" s="23"/>
      <c r="D210" s="23"/>
      <c r="H210" s="23"/>
      <c r="I210" s="23"/>
      <c r="J210" s="23"/>
      <c r="L210" s="23"/>
      <c r="M210" s="23"/>
      <c r="N210" s="23"/>
      <c r="O210" s="23"/>
      <c r="P210" s="23"/>
      <c r="Q210" s="24"/>
      <c r="R210" s="24"/>
      <c r="T210" s="23"/>
      <c r="U210" s="23"/>
      <c r="V210" s="23"/>
      <c r="X210" s="23"/>
      <c r="Y210" s="23"/>
      <c r="Z210" s="23"/>
    </row>
    <row r="211" ht="15.75" customHeight="1">
      <c r="A211" s="23"/>
      <c r="B211" s="23"/>
      <c r="D211" s="23"/>
      <c r="H211" s="23"/>
      <c r="I211" s="23"/>
      <c r="J211" s="23"/>
      <c r="L211" s="23"/>
      <c r="M211" s="23"/>
      <c r="N211" s="23"/>
      <c r="O211" s="23"/>
      <c r="P211" s="23"/>
      <c r="Q211" s="24"/>
      <c r="R211" s="24"/>
      <c r="T211" s="23"/>
      <c r="U211" s="23"/>
      <c r="V211" s="23"/>
      <c r="X211" s="23"/>
      <c r="Y211" s="23"/>
      <c r="Z211" s="23"/>
    </row>
    <row r="212" ht="15.75" customHeight="1">
      <c r="A212" s="23"/>
      <c r="B212" s="23"/>
      <c r="D212" s="23"/>
      <c r="H212" s="23"/>
      <c r="I212" s="23"/>
      <c r="J212" s="23"/>
      <c r="L212" s="23"/>
      <c r="M212" s="23"/>
      <c r="N212" s="23"/>
      <c r="O212" s="23"/>
      <c r="P212" s="23"/>
      <c r="Q212" s="24"/>
      <c r="R212" s="24"/>
      <c r="T212" s="23"/>
      <c r="U212" s="23"/>
      <c r="V212" s="23"/>
      <c r="X212" s="23"/>
      <c r="Y212" s="23"/>
      <c r="Z212" s="23"/>
    </row>
    <row r="213" ht="15.75" customHeight="1">
      <c r="A213" s="23"/>
      <c r="B213" s="23"/>
      <c r="D213" s="23"/>
      <c r="H213" s="23"/>
      <c r="I213" s="23"/>
      <c r="J213" s="23"/>
      <c r="L213" s="23"/>
      <c r="M213" s="23"/>
      <c r="N213" s="23"/>
      <c r="O213" s="23"/>
      <c r="P213" s="23"/>
      <c r="Q213" s="24"/>
      <c r="R213" s="24"/>
      <c r="T213" s="23"/>
      <c r="U213" s="23"/>
      <c r="V213" s="23"/>
      <c r="X213" s="23"/>
      <c r="Y213" s="23"/>
      <c r="Z213" s="23"/>
    </row>
    <row r="214" ht="15.75" customHeight="1">
      <c r="A214" s="23"/>
      <c r="B214" s="23"/>
      <c r="D214" s="23"/>
      <c r="H214" s="23"/>
      <c r="I214" s="23"/>
      <c r="J214" s="23"/>
      <c r="L214" s="23"/>
      <c r="M214" s="23"/>
      <c r="N214" s="23"/>
      <c r="O214" s="23"/>
      <c r="P214" s="23"/>
      <c r="Q214" s="24"/>
      <c r="R214" s="24"/>
      <c r="T214" s="23"/>
      <c r="U214" s="23"/>
      <c r="V214" s="23"/>
      <c r="X214" s="23"/>
      <c r="Y214" s="23"/>
      <c r="Z214" s="23"/>
    </row>
    <row r="215" ht="15.75" customHeight="1">
      <c r="A215" s="23"/>
      <c r="B215" s="23"/>
      <c r="D215" s="23"/>
      <c r="H215" s="23"/>
      <c r="I215" s="23"/>
      <c r="J215" s="23"/>
      <c r="L215" s="23"/>
      <c r="M215" s="23"/>
      <c r="N215" s="23"/>
      <c r="O215" s="23"/>
      <c r="P215" s="23"/>
      <c r="Q215" s="24"/>
      <c r="R215" s="24"/>
      <c r="T215" s="23"/>
      <c r="U215" s="23"/>
      <c r="V215" s="23"/>
      <c r="X215" s="23"/>
      <c r="Y215" s="23"/>
      <c r="Z215" s="23"/>
    </row>
    <row r="216" ht="15.75" customHeight="1">
      <c r="A216" s="23"/>
      <c r="B216" s="23"/>
      <c r="D216" s="23"/>
      <c r="H216" s="23"/>
      <c r="I216" s="23"/>
      <c r="J216" s="23"/>
      <c r="L216" s="23"/>
      <c r="M216" s="23"/>
      <c r="N216" s="23"/>
      <c r="O216" s="23"/>
      <c r="P216" s="23"/>
      <c r="Q216" s="24"/>
      <c r="R216" s="24"/>
      <c r="T216" s="23"/>
      <c r="U216" s="23"/>
      <c r="V216" s="23"/>
      <c r="X216" s="23"/>
      <c r="Y216" s="23"/>
      <c r="Z216" s="23"/>
    </row>
    <row r="217" ht="15.75" customHeight="1">
      <c r="A217" s="23"/>
      <c r="B217" s="23"/>
      <c r="D217" s="23"/>
      <c r="H217" s="23"/>
      <c r="I217" s="23"/>
      <c r="J217" s="23"/>
      <c r="L217" s="23"/>
      <c r="M217" s="23"/>
      <c r="N217" s="23"/>
      <c r="O217" s="23"/>
      <c r="P217" s="23"/>
      <c r="Q217" s="24"/>
      <c r="R217" s="24"/>
      <c r="T217" s="23"/>
      <c r="U217" s="23"/>
      <c r="V217" s="23"/>
      <c r="X217" s="23"/>
      <c r="Y217" s="23"/>
      <c r="Z217" s="23"/>
    </row>
    <row r="218" ht="15.75" customHeight="1">
      <c r="A218" s="23"/>
      <c r="B218" s="23"/>
      <c r="D218" s="23"/>
      <c r="H218" s="23"/>
      <c r="I218" s="23"/>
      <c r="J218" s="23"/>
      <c r="L218" s="23"/>
      <c r="M218" s="23"/>
      <c r="N218" s="23"/>
      <c r="O218" s="23"/>
      <c r="P218" s="23"/>
      <c r="Q218" s="24"/>
      <c r="R218" s="24"/>
      <c r="T218" s="23"/>
      <c r="U218" s="23"/>
      <c r="V218" s="23"/>
      <c r="X218" s="23"/>
      <c r="Y218" s="23"/>
      <c r="Z218" s="23"/>
    </row>
    <row r="219" ht="15.75" customHeight="1">
      <c r="A219" s="23"/>
      <c r="B219" s="23"/>
      <c r="D219" s="23"/>
      <c r="H219" s="23"/>
      <c r="I219" s="23"/>
      <c r="J219" s="23"/>
      <c r="L219" s="23"/>
      <c r="M219" s="23"/>
      <c r="N219" s="23"/>
      <c r="O219" s="23"/>
      <c r="P219" s="23"/>
      <c r="Q219" s="24"/>
      <c r="R219" s="24"/>
      <c r="T219" s="23"/>
      <c r="U219" s="23"/>
      <c r="V219" s="23"/>
      <c r="X219" s="23"/>
      <c r="Y219" s="23"/>
      <c r="Z219" s="23"/>
    </row>
    <row r="220" ht="15.75" customHeight="1">
      <c r="A220" s="23"/>
      <c r="B220" s="23"/>
      <c r="D220" s="23"/>
      <c r="H220" s="23"/>
      <c r="I220" s="23"/>
      <c r="J220" s="23"/>
      <c r="L220" s="23"/>
      <c r="M220" s="23"/>
      <c r="N220" s="23"/>
      <c r="O220" s="23"/>
      <c r="P220" s="23"/>
      <c r="Q220" s="24"/>
      <c r="R220" s="24"/>
      <c r="T220" s="23"/>
      <c r="U220" s="23"/>
      <c r="V220" s="23"/>
      <c r="X220" s="23"/>
      <c r="Y220" s="23"/>
      <c r="Z220" s="23"/>
    </row>
    <row r="221" ht="15.75" customHeight="1">
      <c r="A221" s="23"/>
      <c r="B221" s="23"/>
      <c r="D221" s="23"/>
      <c r="H221" s="23"/>
      <c r="I221" s="23"/>
      <c r="J221" s="23"/>
      <c r="L221" s="23"/>
      <c r="M221" s="23"/>
      <c r="N221" s="23"/>
      <c r="O221" s="23"/>
      <c r="P221" s="23"/>
      <c r="T221" s="23"/>
      <c r="U221" s="23"/>
      <c r="V221" s="23"/>
      <c r="X221" s="23"/>
      <c r="Y221" s="23"/>
      <c r="Z221" s="23"/>
    </row>
    <row r="222" ht="15.75" customHeight="1">
      <c r="A222" s="23"/>
      <c r="B222" s="23"/>
      <c r="D222" s="23"/>
      <c r="H222" s="23"/>
      <c r="I222" s="23"/>
      <c r="J222" s="23"/>
      <c r="L222" s="23"/>
      <c r="M222" s="23"/>
      <c r="N222" s="23"/>
      <c r="O222" s="23"/>
      <c r="P222" s="23"/>
      <c r="T222" s="23"/>
      <c r="U222" s="23"/>
      <c r="V222" s="23"/>
      <c r="X222" s="23"/>
      <c r="Y222" s="23"/>
      <c r="Z222" s="23"/>
    </row>
    <row r="223" ht="15.75" customHeight="1">
      <c r="A223" s="23"/>
      <c r="B223" s="23"/>
      <c r="D223" s="23"/>
      <c r="H223" s="23"/>
      <c r="I223" s="23"/>
      <c r="J223" s="23"/>
      <c r="L223" s="23"/>
      <c r="M223" s="23"/>
      <c r="N223" s="23"/>
      <c r="O223" s="23"/>
      <c r="P223" s="23"/>
      <c r="T223" s="23"/>
      <c r="U223" s="23"/>
      <c r="V223" s="23"/>
      <c r="X223" s="23"/>
      <c r="Y223" s="23"/>
      <c r="Z223" s="23"/>
    </row>
    <row r="224" ht="15.75" customHeight="1">
      <c r="A224" s="23"/>
      <c r="B224" s="23"/>
      <c r="D224" s="23"/>
      <c r="H224" s="23"/>
      <c r="I224" s="23"/>
      <c r="J224" s="23"/>
      <c r="L224" s="23"/>
      <c r="M224" s="23"/>
      <c r="N224" s="23"/>
      <c r="O224" s="23"/>
      <c r="P224" s="23"/>
      <c r="T224" s="23"/>
      <c r="U224" s="23"/>
      <c r="V224" s="23"/>
      <c r="X224" s="23"/>
      <c r="Y224" s="23"/>
      <c r="Z224" s="23"/>
    </row>
    <row r="225" ht="15.75" customHeight="1">
      <c r="A225" s="23"/>
      <c r="B225" s="23"/>
      <c r="D225" s="23"/>
      <c r="H225" s="23"/>
      <c r="I225" s="23"/>
      <c r="J225" s="23"/>
      <c r="L225" s="23"/>
      <c r="M225" s="23"/>
      <c r="N225" s="23"/>
      <c r="O225" s="23"/>
      <c r="P225" s="23"/>
      <c r="T225" s="23"/>
      <c r="U225" s="23"/>
      <c r="V225" s="23"/>
      <c r="X225" s="23"/>
      <c r="Y225" s="23"/>
      <c r="Z225" s="23"/>
    </row>
    <row r="226" ht="15.75" customHeight="1">
      <c r="A226" s="23"/>
      <c r="B226" s="23"/>
      <c r="D226" s="23"/>
      <c r="H226" s="23"/>
      <c r="I226" s="23"/>
      <c r="J226" s="23"/>
      <c r="L226" s="23"/>
      <c r="M226" s="23"/>
      <c r="N226" s="23"/>
      <c r="O226" s="23"/>
      <c r="P226" s="23"/>
      <c r="T226" s="23"/>
      <c r="U226" s="23"/>
      <c r="V226" s="23"/>
      <c r="X226" s="23"/>
      <c r="Y226" s="23"/>
      <c r="Z226" s="23"/>
    </row>
    <row r="227" ht="15.75" customHeight="1">
      <c r="A227" s="23"/>
      <c r="B227" s="23"/>
      <c r="D227" s="23"/>
      <c r="H227" s="23"/>
      <c r="I227" s="23"/>
      <c r="J227" s="23"/>
      <c r="L227" s="23"/>
      <c r="M227" s="23"/>
      <c r="N227" s="23"/>
      <c r="O227" s="23"/>
      <c r="P227" s="23"/>
      <c r="T227" s="23"/>
      <c r="U227" s="23"/>
      <c r="V227" s="23"/>
      <c r="X227" s="23"/>
      <c r="Y227" s="23"/>
      <c r="Z227" s="23"/>
    </row>
    <row r="228" ht="15.75" customHeight="1">
      <c r="A228" s="23"/>
      <c r="B228" s="23"/>
      <c r="D228" s="23"/>
      <c r="H228" s="23"/>
      <c r="I228" s="23"/>
      <c r="J228" s="23"/>
      <c r="L228" s="23"/>
      <c r="M228" s="23"/>
      <c r="N228" s="23"/>
      <c r="O228" s="23"/>
      <c r="P228" s="23"/>
      <c r="T228" s="23"/>
      <c r="U228" s="23"/>
      <c r="V228" s="23"/>
      <c r="X228" s="23"/>
      <c r="Y228" s="23"/>
      <c r="Z228" s="23"/>
    </row>
    <row r="229" ht="15.75" customHeight="1">
      <c r="A229" s="23"/>
      <c r="B229" s="23"/>
      <c r="D229" s="23"/>
      <c r="H229" s="23"/>
      <c r="I229" s="23"/>
      <c r="J229" s="23"/>
      <c r="L229" s="23"/>
      <c r="M229" s="23"/>
      <c r="N229" s="23"/>
      <c r="O229" s="23"/>
      <c r="P229" s="23"/>
      <c r="T229" s="23"/>
      <c r="U229" s="23"/>
      <c r="V229" s="23"/>
      <c r="X229" s="23"/>
      <c r="Y229" s="23"/>
      <c r="Z229" s="23"/>
    </row>
    <row r="230" ht="15.75" customHeight="1">
      <c r="A230" s="23"/>
      <c r="B230" s="23"/>
      <c r="D230" s="23"/>
      <c r="H230" s="23"/>
      <c r="I230" s="23"/>
      <c r="J230" s="23"/>
      <c r="L230" s="23"/>
      <c r="M230" s="23"/>
      <c r="N230" s="23"/>
      <c r="O230" s="23"/>
      <c r="P230" s="23"/>
      <c r="T230" s="23"/>
      <c r="U230" s="23"/>
      <c r="V230" s="23"/>
      <c r="X230" s="23"/>
      <c r="Y230" s="23"/>
      <c r="Z230" s="23"/>
    </row>
    <row r="231" ht="15.75" customHeight="1">
      <c r="A231" s="23"/>
      <c r="B231" s="23"/>
      <c r="D231" s="23"/>
      <c r="H231" s="23"/>
      <c r="I231" s="23"/>
      <c r="J231" s="23"/>
      <c r="L231" s="23"/>
      <c r="M231" s="23"/>
      <c r="N231" s="23"/>
      <c r="O231" s="23"/>
      <c r="P231" s="23"/>
      <c r="T231" s="23"/>
      <c r="U231" s="23"/>
      <c r="V231" s="23"/>
      <c r="X231" s="23"/>
      <c r="Y231" s="23"/>
      <c r="Z231" s="23"/>
    </row>
    <row r="232" ht="15.75" customHeight="1">
      <c r="A232" s="23"/>
      <c r="B232" s="23"/>
      <c r="D232" s="23"/>
      <c r="H232" s="23"/>
      <c r="I232" s="23"/>
      <c r="J232" s="23"/>
      <c r="L232" s="23"/>
      <c r="M232" s="23"/>
      <c r="N232" s="23"/>
      <c r="O232" s="23"/>
      <c r="P232" s="23"/>
      <c r="T232" s="23"/>
      <c r="U232" s="23"/>
      <c r="V232" s="23"/>
      <c r="X232" s="23"/>
      <c r="Y232" s="23"/>
      <c r="Z232" s="23"/>
    </row>
    <row r="233" ht="15.75" customHeight="1">
      <c r="A233" s="23"/>
      <c r="B233" s="23"/>
      <c r="D233" s="23"/>
      <c r="H233" s="23"/>
      <c r="I233" s="23"/>
      <c r="J233" s="23"/>
      <c r="L233" s="23"/>
      <c r="M233" s="23"/>
      <c r="N233" s="23"/>
      <c r="O233" s="23"/>
      <c r="P233" s="23"/>
      <c r="T233" s="23"/>
      <c r="U233" s="23"/>
      <c r="V233" s="23"/>
      <c r="X233" s="23"/>
      <c r="Y233" s="23"/>
      <c r="Z233" s="23"/>
    </row>
    <row r="234" ht="15.75" customHeight="1">
      <c r="A234" s="23"/>
      <c r="B234" s="23"/>
      <c r="D234" s="23"/>
      <c r="H234" s="23"/>
      <c r="I234" s="23"/>
      <c r="J234" s="23"/>
      <c r="L234" s="23"/>
      <c r="M234" s="23"/>
      <c r="N234" s="23"/>
      <c r="O234" s="23"/>
      <c r="P234" s="23"/>
      <c r="T234" s="23"/>
      <c r="U234" s="23"/>
      <c r="V234" s="23"/>
      <c r="X234" s="23"/>
      <c r="Y234" s="23"/>
      <c r="Z234" s="23"/>
    </row>
    <row r="235" ht="15.75" customHeight="1">
      <c r="A235" s="23"/>
      <c r="B235" s="23"/>
      <c r="D235" s="23"/>
      <c r="H235" s="23"/>
      <c r="I235" s="23"/>
      <c r="J235" s="23"/>
      <c r="L235" s="23"/>
      <c r="M235" s="23"/>
      <c r="N235" s="23"/>
      <c r="O235" s="23"/>
      <c r="P235" s="23"/>
      <c r="T235" s="23"/>
      <c r="U235" s="23"/>
      <c r="V235" s="23"/>
      <c r="X235" s="23"/>
      <c r="Y235" s="23"/>
      <c r="Z235" s="23"/>
    </row>
    <row r="236" ht="15.75" customHeight="1">
      <c r="A236" s="23"/>
      <c r="B236" s="23"/>
      <c r="D236" s="23"/>
      <c r="H236" s="23"/>
      <c r="I236" s="23"/>
      <c r="J236" s="23"/>
      <c r="L236" s="23"/>
      <c r="M236" s="23"/>
      <c r="N236" s="23"/>
      <c r="O236" s="23"/>
      <c r="P236" s="23"/>
      <c r="T236" s="23"/>
      <c r="U236" s="23"/>
      <c r="V236" s="23"/>
      <c r="X236" s="23"/>
      <c r="Y236" s="23"/>
      <c r="Z236" s="23"/>
    </row>
    <row r="237" ht="15.75" customHeight="1">
      <c r="A237" s="23"/>
      <c r="B237" s="23"/>
      <c r="D237" s="23"/>
      <c r="H237" s="23"/>
      <c r="I237" s="23"/>
      <c r="J237" s="23"/>
      <c r="L237" s="23"/>
      <c r="M237" s="23"/>
      <c r="N237" s="23"/>
      <c r="O237" s="23"/>
      <c r="P237" s="23"/>
      <c r="T237" s="23"/>
      <c r="U237" s="23"/>
      <c r="V237" s="23"/>
      <c r="X237" s="23"/>
      <c r="Y237" s="23"/>
      <c r="Z237" s="23"/>
    </row>
    <row r="238" ht="15.75" customHeight="1">
      <c r="A238" s="23"/>
      <c r="B238" s="23"/>
      <c r="D238" s="23"/>
      <c r="H238" s="23"/>
      <c r="I238" s="23"/>
      <c r="J238" s="23"/>
      <c r="L238" s="23"/>
      <c r="M238" s="23"/>
      <c r="N238" s="23"/>
      <c r="O238" s="23"/>
      <c r="P238" s="23"/>
      <c r="T238" s="23"/>
      <c r="U238" s="23"/>
      <c r="V238" s="23"/>
      <c r="X238" s="23"/>
      <c r="Y238" s="23"/>
      <c r="Z238" s="23"/>
    </row>
    <row r="239" ht="15.75" customHeight="1">
      <c r="A239" s="23"/>
      <c r="B239" s="23"/>
      <c r="D239" s="23"/>
      <c r="H239" s="23"/>
      <c r="I239" s="23"/>
      <c r="J239" s="23"/>
      <c r="L239" s="23"/>
      <c r="M239" s="23"/>
      <c r="N239" s="23"/>
      <c r="O239" s="23"/>
      <c r="P239" s="23"/>
      <c r="T239" s="23"/>
      <c r="U239" s="23"/>
      <c r="V239" s="23"/>
      <c r="X239" s="23"/>
      <c r="Y239" s="23"/>
      <c r="Z239" s="23"/>
    </row>
    <row r="240" ht="15.75" customHeight="1">
      <c r="A240" s="23"/>
      <c r="B240" s="23"/>
      <c r="D240" s="23"/>
      <c r="H240" s="23"/>
      <c r="I240" s="23"/>
      <c r="J240" s="23"/>
      <c r="L240" s="23"/>
      <c r="M240" s="23"/>
      <c r="N240" s="23"/>
      <c r="O240" s="23"/>
      <c r="P240" s="23"/>
      <c r="T240" s="23"/>
      <c r="U240" s="23"/>
      <c r="V240" s="23"/>
      <c r="X240" s="23"/>
      <c r="Y240" s="23"/>
      <c r="Z240" s="23"/>
    </row>
    <row r="241" ht="15.75" customHeight="1">
      <c r="A241" s="23"/>
      <c r="B241" s="23"/>
      <c r="D241" s="23"/>
      <c r="H241" s="23"/>
      <c r="I241" s="23"/>
      <c r="J241" s="23"/>
      <c r="L241" s="23"/>
      <c r="M241" s="23"/>
      <c r="N241" s="23"/>
      <c r="O241" s="23"/>
      <c r="P241" s="23"/>
      <c r="T241" s="23"/>
      <c r="U241" s="23"/>
      <c r="V241" s="23"/>
      <c r="X241" s="23"/>
      <c r="Y241" s="23"/>
      <c r="Z241" s="23"/>
    </row>
    <row r="242" ht="15.75" customHeight="1">
      <c r="A242" s="23"/>
      <c r="B242" s="23"/>
      <c r="D242" s="23"/>
      <c r="H242" s="23"/>
      <c r="I242" s="23"/>
      <c r="J242" s="23"/>
      <c r="L242" s="23"/>
      <c r="M242" s="23"/>
      <c r="N242" s="23"/>
      <c r="O242" s="23"/>
      <c r="P242" s="23"/>
      <c r="T242" s="23"/>
      <c r="U242" s="23"/>
      <c r="V242" s="23"/>
      <c r="X242" s="23"/>
      <c r="Y242" s="23"/>
      <c r="Z242" s="23"/>
    </row>
    <row r="243" ht="15.75" customHeight="1">
      <c r="A243" s="23"/>
      <c r="B243" s="23"/>
      <c r="D243" s="23"/>
      <c r="H243" s="23"/>
      <c r="I243" s="23"/>
      <c r="J243" s="23"/>
      <c r="L243" s="23"/>
      <c r="M243" s="23"/>
      <c r="N243" s="23"/>
      <c r="O243" s="23"/>
      <c r="P243" s="23"/>
      <c r="T243" s="23"/>
      <c r="U243" s="23"/>
      <c r="V243" s="23"/>
      <c r="X243" s="23"/>
      <c r="Y243" s="23"/>
      <c r="Z243" s="23"/>
    </row>
    <row r="244" ht="15.75" customHeight="1">
      <c r="A244" s="23"/>
      <c r="B244" s="23"/>
      <c r="D244" s="23"/>
      <c r="H244" s="23"/>
      <c r="I244" s="23"/>
      <c r="J244" s="23"/>
      <c r="L244" s="23"/>
      <c r="M244" s="23"/>
      <c r="N244" s="23"/>
      <c r="O244" s="23"/>
      <c r="P244" s="23"/>
      <c r="T244" s="23"/>
      <c r="U244" s="23"/>
      <c r="V244" s="23"/>
      <c r="X244" s="23"/>
      <c r="Y244" s="23"/>
      <c r="Z244" s="23"/>
    </row>
    <row r="245" ht="15.75" customHeight="1">
      <c r="A245" s="23"/>
      <c r="B245" s="23"/>
      <c r="D245" s="23"/>
      <c r="H245" s="23"/>
      <c r="I245" s="23"/>
      <c r="J245" s="23"/>
      <c r="L245" s="23"/>
      <c r="M245" s="23"/>
      <c r="N245" s="23"/>
      <c r="O245" s="23"/>
      <c r="P245" s="23"/>
      <c r="T245" s="23"/>
      <c r="U245" s="23"/>
      <c r="V245" s="23"/>
      <c r="X245" s="23"/>
      <c r="Y245" s="23"/>
      <c r="Z245" s="23"/>
    </row>
    <row r="246" ht="15.75" customHeight="1">
      <c r="A246" s="23"/>
      <c r="B246" s="23"/>
      <c r="D246" s="23"/>
      <c r="H246" s="23"/>
      <c r="I246" s="23"/>
      <c r="J246" s="23"/>
      <c r="L246" s="23"/>
      <c r="M246" s="23"/>
      <c r="N246" s="23"/>
      <c r="O246" s="23"/>
      <c r="P246" s="23"/>
      <c r="T246" s="23"/>
      <c r="U246" s="23"/>
      <c r="V246" s="23"/>
      <c r="X246" s="23"/>
      <c r="Y246" s="23"/>
      <c r="Z246" s="23"/>
    </row>
    <row r="247" ht="15.75" customHeight="1">
      <c r="A247" s="23"/>
      <c r="B247" s="23"/>
      <c r="D247" s="23"/>
      <c r="H247" s="23"/>
      <c r="I247" s="23"/>
      <c r="J247" s="23"/>
      <c r="L247" s="23"/>
      <c r="M247" s="23"/>
      <c r="N247" s="23"/>
      <c r="O247" s="23"/>
      <c r="P247" s="23"/>
      <c r="T247" s="23"/>
      <c r="U247" s="23"/>
      <c r="V247" s="23"/>
      <c r="X247" s="23"/>
      <c r="Y247" s="23"/>
      <c r="Z247" s="23"/>
    </row>
    <row r="248" ht="15.75" customHeight="1">
      <c r="A248" s="23"/>
      <c r="B248" s="23"/>
      <c r="D248" s="23"/>
      <c r="H248" s="23"/>
      <c r="I248" s="23"/>
      <c r="J248" s="23"/>
      <c r="L248" s="23"/>
      <c r="M248" s="23"/>
      <c r="N248" s="23"/>
      <c r="O248" s="23"/>
      <c r="P248" s="23"/>
      <c r="T248" s="23"/>
      <c r="U248" s="23"/>
      <c r="V248" s="23"/>
      <c r="X248" s="23"/>
      <c r="Y248" s="23"/>
      <c r="Z248" s="23"/>
    </row>
    <row r="249" ht="15.75" customHeight="1">
      <c r="A249" s="23"/>
      <c r="B249" s="23"/>
      <c r="D249" s="23"/>
      <c r="H249" s="23"/>
      <c r="I249" s="23"/>
      <c r="J249" s="23"/>
      <c r="L249" s="23"/>
      <c r="M249" s="23"/>
      <c r="N249" s="23"/>
      <c r="O249" s="23"/>
      <c r="P249" s="23"/>
      <c r="T249" s="23"/>
      <c r="U249" s="23"/>
      <c r="V249" s="23"/>
      <c r="X249" s="23"/>
      <c r="Y249" s="23"/>
      <c r="Z249" s="23"/>
    </row>
    <row r="250" ht="15.75" customHeight="1">
      <c r="A250" s="23"/>
      <c r="B250" s="23"/>
      <c r="D250" s="23"/>
      <c r="H250" s="23"/>
      <c r="I250" s="23"/>
      <c r="J250" s="23"/>
      <c r="L250" s="23"/>
      <c r="M250" s="23"/>
      <c r="N250" s="23"/>
      <c r="O250" s="23"/>
      <c r="P250" s="23"/>
      <c r="T250" s="23"/>
      <c r="U250" s="23"/>
      <c r="V250" s="23"/>
      <c r="X250" s="23"/>
      <c r="Y250" s="23"/>
      <c r="Z250" s="23"/>
    </row>
    <row r="251" ht="15.75" customHeight="1">
      <c r="A251" s="23"/>
      <c r="B251" s="23"/>
      <c r="D251" s="23"/>
      <c r="H251" s="23"/>
      <c r="I251" s="23"/>
      <c r="J251" s="23"/>
      <c r="L251" s="23"/>
      <c r="M251" s="23"/>
      <c r="N251" s="23"/>
      <c r="O251" s="23"/>
      <c r="P251" s="23"/>
      <c r="T251" s="23"/>
      <c r="U251" s="23"/>
      <c r="V251" s="23"/>
      <c r="X251" s="23"/>
      <c r="Y251" s="23"/>
      <c r="Z251" s="23"/>
    </row>
    <row r="252" ht="15.75" customHeight="1">
      <c r="A252" s="23"/>
      <c r="B252" s="23"/>
      <c r="D252" s="23"/>
      <c r="H252" s="23"/>
      <c r="I252" s="23"/>
      <c r="J252" s="23"/>
      <c r="L252" s="23"/>
      <c r="M252" s="23"/>
      <c r="N252" s="23"/>
      <c r="O252" s="23"/>
      <c r="P252" s="23"/>
      <c r="T252" s="23"/>
      <c r="U252" s="23"/>
      <c r="V252" s="23"/>
      <c r="X252" s="23"/>
      <c r="Y252" s="23"/>
      <c r="Z252" s="23"/>
    </row>
    <row r="253" ht="15.75" customHeight="1">
      <c r="A253" s="23"/>
      <c r="B253" s="23"/>
      <c r="D253" s="23"/>
      <c r="H253" s="23"/>
      <c r="I253" s="23"/>
      <c r="J253" s="23"/>
      <c r="L253" s="23"/>
      <c r="M253" s="23"/>
      <c r="N253" s="23"/>
      <c r="O253" s="23"/>
      <c r="P253" s="23"/>
      <c r="T253" s="23"/>
      <c r="U253" s="23"/>
      <c r="V253" s="23"/>
      <c r="X253" s="23"/>
      <c r="Y253" s="23"/>
      <c r="Z253" s="23"/>
    </row>
    <row r="254" ht="15.75" customHeight="1">
      <c r="A254" s="23"/>
      <c r="B254" s="23"/>
      <c r="D254" s="23"/>
      <c r="H254" s="23"/>
      <c r="I254" s="23"/>
      <c r="J254" s="23"/>
      <c r="L254" s="23"/>
      <c r="M254" s="23"/>
      <c r="N254" s="23"/>
      <c r="O254" s="23"/>
      <c r="P254" s="23"/>
      <c r="T254" s="23"/>
      <c r="U254" s="23"/>
      <c r="V254" s="23"/>
      <c r="X254" s="23"/>
      <c r="Y254" s="23"/>
      <c r="Z254" s="23"/>
    </row>
    <row r="255" ht="15.75" customHeight="1">
      <c r="A255" s="23"/>
      <c r="B255" s="23"/>
      <c r="D255" s="23"/>
      <c r="H255" s="23"/>
      <c r="I255" s="23"/>
      <c r="J255" s="23"/>
      <c r="L255" s="23"/>
      <c r="M255" s="23"/>
      <c r="N255" s="23"/>
      <c r="O255" s="23"/>
      <c r="P255" s="23"/>
      <c r="T255" s="23"/>
      <c r="U255" s="23"/>
      <c r="V255" s="23"/>
      <c r="X255" s="23"/>
      <c r="Y255" s="23"/>
      <c r="Z255" s="23"/>
    </row>
    <row r="256" ht="15.75" customHeight="1">
      <c r="A256" s="23"/>
      <c r="B256" s="23"/>
      <c r="D256" s="23"/>
      <c r="H256" s="23"/>
      <c r="I256" s="23"/>
      <c r="J256" s="23"/>
      <c r="L256" s="23"/>
      <c r="M256" s="23"/>
      <c r="N256" s="23"/>
      <c r="O256" s="23"/>
      <c r="P256" s="23"/>
      <c r="T256" s="23"/>
      <c r="U256" s="23"/>
      <c r="V256" s="23"/>
      <c r="X256" s="23"/>
      <c r="Y256" s="23"/>
      <c r="Z256" s="23"/>
    </row>
    <row r="257" ht="15.75" customHeight="1">
      <c r="A257" s="23"/>
      <c r="B257" s="23"/>
      <c r="D257" s="23"/>
      <c r="H257" s="23"/>
      <c r="I257" s="23"/>
      <c r="J257" s="23"/>
      <c r="L257" s="23"/>
      <c r="M257" s="23"/>
      <c r="N257" s="23"/>
      <c r="O257" s="23"/>
      <c r="P257" s="23"/>
      <c r="T257" s="23"/>
      <c r="U257" s="23"/>
      <c r="V257" s="23"/>
      <c r="X257" s="23"/>
      <c r="Y257" s="23"/>
      <c r="Z257" s="23"/>
    </row>
    <row r="258" ht="15.75" customHeight="1">
      <c r="A258" s="23"/>
      <c r="B258" s="23"/>
      <c r="D258" s="23"/>
      <c r="H258" s="23"/>
      <c r="I258" s="23"/>
      <c r="J258" s="23"/>
      <c r="L258" s="23"/>
      <c r="M258" s="23"/>
      <c r="N258" s="23"/>
      <c r="O258" s="23"/>
      <c r="P258" s="23"/>
      <c r="T258" s="23"/>
      <c r="U258" s="23"/>
      <c r="V258" s="23"/>
      <c r="X258" s="23"/>
      <c r="Y258" s="23"/>
      <c r="Z258" s="23"/>
    </row>
    <row r="259" ht="15.75" customHeight="1">
      <c r="A259" s="23"/>
      <c r="B259" s="23"/>
      <c r="D259" s="23"/>
      <c r="H259" s="23"/>
      <c r="I259" s="23"/>
      <c r="J259" s="23"/>
      <c r="L259" s="23"/>
      <c r="M259" s="23"/>
      <c r="N259" s="23"/>
      <c r="O259" s="23"/>
      <c r="P259" s="23"/>
      <c r="T259" s="23"/>
      <c r="U259" s="23"/>
      <c r="V259" s="23"/>
      <c r="X259" s="23"/>
      <c r="Y259" s="23"/>
      <c r="Z259" s="23"/>
    </row>
    <row r="260" ht="15.75" customHeight="1">
      <c r="A260" s="23"/>
      <c r="B260" s="23"/>
      <c r="D260" s="23"/>
      <c r="H260" s="23"/>
      <c r="I260" s="23"/>
      <c r="J260" s="23"/>
      <c r="L260" s="23"/>
      <c r="M260" s="23"/>
      <c r="N260" s="23"/>
      <c r="O260" s="23"/>
      <c r="P260" s="23"/>
      <c r="T260" s="23"/>
      <c r="U260" s="23"/>
      <c r="V260" s="23"/>
      <c r="X260" s="23"/>
      <c r="Y260" s="23"/>
      <c r="Z260" s="23"/>
    </row>
    <row r="261" ht="15.75" customHeight="1">
      <c r="A261" s="23"/>
      <c r="B261" s="23"/>
      <c r="D261" s="23"/>
      <c r="H261" s="23"/>
      <c r="I261" s="23"/>
      <c r="J261" s="23"/>
      <c r="L261" s="23"/>
      <c r="M261" s="23"/>
      <c r="N261" s="23"/>
      <c r="O261" s="23"/>
      <c r="P261" s="23"/>
      <c r="T261" s="23"/>
      <c r="U261" s="23"/>
      <c r="V261" s="23"/>
      <c r="X261" s="23"/>
      <c r="Y261" s="23"/>
      <c r="Z261" s="23"/>
    </row>
    <row r="262" ht="15.75" customHeight="1">
      <c r="A262" s="23"/>
      <c r="B262" s="23"/>
      <c r="D262" s="23"/>
      <c r="H262" s="23"/>
      <c r="I262" s="23"/>
      <c r="J262" s="23"/>
      <c r="L262" s="23"/>
      <c r="M262" s="23"/>
      <c r="N262" s="23"/>
      <c r="O262" s="23"/>
      <c r="P262" s="23"/>
      <c r="T262" s="23"/>
      <c r="U262" s="23"/>
      <c r="V262" s="23"/>
      <c r="X262" s="23"/>
      <c r="Y262" s="23"/>
      <c r="Z262" s="23"/>
    </row>
    <row r="263" ht="15.75" customHeight="1">
      <c r="A263" s="23"/>
      <c r="B263" s="23"/>
      <c r="D263" s="23"/>
      <c r="H263" s="23"/>
      <c r="I263" s="23"/>
      <c r="J263" s="23"/>
      <c r="L263" s="23"/>
      <c r="M263" s="23"/>
      <c r="N263" s="23"/>
      <c r="O263" s="23"/>
      <c r="P263" s="23"/>
      <c r="T263" s="23"/>
      <c r="U263" s="23"/>
      <c r="V263" s="23"/>
      <c r="X263" s="23"/>
      <c r="Y263" s="23"/>
      <c r="Z263" s="23"/>
    </row>
    <row r="264" ht="15.75" customHeight="1">
      <c r="A264" s="23"/>
      <c r="B264" s="23"/>
      <c r="D264" s="23"/>
      <c r="H264" s="23"/>
      <c r="I264" s="23"/>
      <c r="J264" s="23"/>
      <c r="L264" s="23"/>
      <c r="M264" s="23"/>
      <c r="N264" s="23"/>
      <c r="O264" s="23"/>
      <c r="P264" s="23"/>
      <c r="T264" s="23"/>
      <c r="U264" s="23"/>
      <c r="V264" s="23"/>
      <c r="X264" s="23"/>
      <c r="Y264" s="23"/>
      <c r="Z264" s="23"/>
    </row>
    <row r="265" ht="15.75" customHeight="1">
      <c r="A265" s="23"/>
      <c r="B265" s="23"/>
      <c r="D265" s="23"/>
      <c r="H265" s="23"/>
      <c r="I265" s="23"/>
      <c r="J265" s="23"/>
      <c r="L265" s="23"/>
      <c r="M265" s="23"/>
      <c r="N265" s="23"/>
      <c r="O265" s="23"/>
      <c r="P265" s="23"/>
      <c r="T265" s="23"/>
      <c r="U265" s="23"/>
      <c r="V265" s="23"/>
      <c r="X265" s="23"/>
      <c r="Y265" s="23"/>
      <c r="Z265" s="23"/>
    </row>
    <row r="266" ht="15.75" customHeight="1">
      <c r="A266" s="23"/>
      <c r="B266" s="23"/>
      <c r="D266" s="23"/>
      <c r="H266" s="23"/>
      <c r="I266" s="23"/>
      <c r="J266" s="23"/>
      <c r="L266" s="23"/>
      <c r="M266" s="23"/>
      <c r="N266" s="23"/>
      <c r="O266" s="23"/>
      <c r="P266" s="23"/>
      <c r="T266" s="23"/>
      <c r="U266" s="23"/>
      <c r="V266" s="23"/>
      <c r="X266" s="23"/>
      <c r="Y266" s="23"/>
      <c r="Z266" s="23"/>
    </row>
    <row r="267" ht="15.75" customHeight="1">
      <c r="A267" s="23"/>
      <c r="B267" s="23"/>
      <c r="D267" s="23"/>
      <c r="H267" s="23"/>
      <c r="I267" s="23"/>
      <c r="J267" s="23"/>
      <c r="L267" s="23"/>
      <c r="M267" s="23"/>
      <c r="N267" s="23"/>
      <c r="O267" s="23"/>
      <c r="P267" s="23"/>
      <c r="T267" s="23"/>
      <c r="U267" s="23"/>
      <c r="V267" s="23"/>
      <c r="X267" s="23"/>
      <c r="Y267" s="23"/>
      <c r="Z267" s="23"/>
    </row>
    <row r="268" ht="15.75" customHeight="1">
      <c r="A268" s="23"/>
      <c r="B268" s="23"/>
      <c r="D268" s="23"/>
      <c r="H268" s="23"/>
      <c r="I268" s="23"/>
      <c r="J268" s="23"/>
      <c r="L268" s="23"/>
      <c r="M268" s="23"/>
      <c r="N268" s="23"/>
      <c r="O268" s="23"/>
      <c r="P268" s="23"/>
      <c r="T268" s="23"/>
      <c r="U268" s="23"/>
      <c r="V268" s="23"/>
      <c r="X268" s="23"/>
      <c r="Y268" s="23"/>
      <c r="Z268" s="23"/>
    </row>
    <row r="269" ht="15.75" customHeight="1">
      <c r="A269" s="23"/>
      <c r="B269" s="23"/>
      <c r="D269" s="23"/>
      <c r="H269" s="23"/>
      <c r="I269" s="23"/>
      <c r="J269" s="23"/>
      <c r="L269" s="23"/>
      <c r="M269" s="23"/>
      <c r="N269" s="23"/>
      <c r="O269" s="23"/>
      <c r="P269" s="23"/>
      <c r="T269" s="23"/>
      <c r="U269" s="23"/>
      <c r="V269" s="23"/>
      <c r="X269" s="23"/>
      <c r="Y269" s="23"/>
      <c r="Z269" s="23"/>
    </row>
    <row r="270" ht="15.75" customHeight="1">
      <c r="A270" s="23"/>
      <c r="B270" s="23"/>
      <c r="D270" s="23"/>
      <c r="H270" s="23"/>
      <c r="I270" s="23"/>
      <c r="J270" s="23"/>
      <c r="L270" s="23"/>
      <c r="M270" s="23"/>
      <c r="N270" s="23"/>
      <c r="O270" s="23"/>
      <c r="P270" s="23"/>
      <c r="T270" s="23"/>
      <c r="U270" s="23"/>
      <c r="V270" s="23"/>
      <c r="X270" s="23"/>
      <c r="Y270" s="23"/>
      <c r="Z270" s="23"/>
    </row>
    <row r="271" ht="15.75" customHeight="1">
      <c r="A271" s="23"/>
      <c r="B271" s="23"/>
      <c r="D271" s="23"/>
      <c r="H271" s="23"/>
      <c r="I271" s="23"/>
      <c r="J271" s="23"/>
      <c r="L271" s="23"/>
      <c r="M271" s="23"/>
      <c r="N271" s="23"/>
      <c r="O271" s="23"/>
      <c r="P271" s="23"/>
      <c r="T271" s="23"/>
      <c r="U271" s="23"/>
      <c r="V271" s="23"/>
      <c r="X271" s="23"/>
      <c r="Y271" s="23"/>
      <c r="Z271" s="23"/>
    </row>
    <row r="272" ht="15.75" customHeight="1">
      <c r="A272" s="23"/>
      <c r="B272" s="23"/>
      <c r="D272" s="23"/>
      <c r="H272" s="23"/>
      <c r="I272" s="23"/>
      <c r="J272" s="23"/>
      <c r="L272" s="23"/>
      <c r="M272" s="23"/>
      <c r="N272" s="23"/>
      <c r="O272" s="23"/>
      <c r="P272" s="23"/>
      <c r="T272" s="23"/>
      <c r="U272" s="23"/>
      <c r="V272" s="23"/>
      <c r="X272" s="23"/>
      <c r="Y272" s="23"/>
      <c r="Z272" s="23"/>
    </row>
    <row r="273" ht="15.75" customHeight="1">
      <c r="A273" s="23"/>
      <c r="B273" s="23"/>
      <c r="D273" s="23"/>
      <c r="H273" s="23"/>
      <c r="I273" s="23"/>
      <c r="J273" s="23"/>
      <c r="L273" s="23"/>
      <c r="M273" s="23"/>
      <c r="N273" s="23"/>
      <c r="O273" s="23"/>
      <c r="P273" s="23"/>
      <c r="T273" s="23"/>
      <c r="U273" s="23"/>
      <c r="V273" s="23"/>
      <c r="X273" s="23"/>
      <c r="Y273" s="23"/>
      <c r="Z273" s="23"/>
    </row>
    <row r="274" ht="15.75" customHeight="1">
      <c r="A274" s="23"/>
      <c r="B274" s="23"/>
      <c r="D274" s="23"/>
      <c r="H274" s="23"/>
      <c r="I274" s="23"/>
      <c r="J274" s="23"/>
      <c r="L274" s="23"/>
      <c r="M274" s="23"/>
      <c r="N274" s="23"/>
      <c r="O274" s="23"/>
      <c r="P274" s="23"/>
      <c r="T274" s="23"/>
      <c r="U274" s="23"/>
      <c r="V274" s="23"/>
      <c r="X274" s="23"/>
      <c r="Y274" s="23"/>
      <c r="Z274" s="23"/>
    </row>
    <row r="275" ht="15.75" customHeight="1">
      <c r="A275" s="23"/>
      <c r="B275" s="23"/>
      <c r="D275" s="23"/>
      <c r="H275" s="23"/>
      <c r="I275" s="23"/>
      <c r="J275" s="23"/>
      <c r="L275" s="23"/>
      <c r="M275" s="23"/>
      <c r="N275" s="23"/>
      <c r="O275" s="23"/>
      <c r="P275" s="23"/>
      <c r="T275" s="23"/>
      <c r="U275" s="23"/>
      <c r="V275" s="23"/>
      <c r="X275" s="23"/>
      <c r="Y275" s="23"/>
      <c r="Z275" s="23"/>
    </row>
    <row r="276" ht="15.75" customHeight="1">
      <c r="A276" s="23"/>
      <c r="B276" s="23"/>
      <c r="D276" s="23"/>
      <c r="H276" s="23"/>
      <c r="I276" s="23"/>
      <c r="J276" s="23"/>
      <c r="L276" s="23"/>
      <c r="M276" s="23"/>
      <c r="N276" s="23"/>
      <c r="O276" s="23"/>
      <c r="P276" s="23"/>
      <c r="T276" s="23"/>
      <c r="U276" s="23"/>
      <c r="V276" s="23"/>
      <c r="X276" s="23"/>
      <c r="Y276" s="23"/>
      <c r="Z276" s="23"/>
    </row>
    <row r="277" ht="15.75" customHeight="1">
      <c r="A277" s="23"/>
      <c r="B277" s="23"/>
      <c r="D277" s="23"/>
      <c r="H277" s="23"/>
      <c r="I277" s="23"/>
      <c r="J277" s="23"/>
      <c r="L277" s="23"/>
      <c r="M277" s="23"/>
      <c r="N277" s="23"/>
      <c r="O277" s="23"/>
      <c r="P277" s="23"/>
      <c r="T277" s="23"/>
      <c r="U277" s="23"/>
      <c r="V277" s="23"/>
      <c r="X277" s="23"/>
      <c r="Y277" s="23"/>
      <c r="Z277" s="23"/>
    </row>
    <row r="278" ht="15.75" customHeight="1">
      <c r="A278" s="23"/>
      <c r="B278" s="23"/>
      <c r="D278" s="23"/>
      <c r="H278" s="23"/>
      <c r="I278" s="23"/>
      <c r="J278" s="23"/>
      <c r="L278" s="23"/>
      <c r="M278" s="23"/>
      <c r="N278" s="23"/>
      <c r="O278" s="23"/>
      <c r="P278" s="23"/>
      <c r="T278" s="23"/>
      <c r="U278" s="23"/>
      <c r="V278" s="23"/>
      <c r="X278" s="23"/>
      <c r="Y278" s="23"/>
      <c r="Z278" s="23"/>
    </row>
    <row r="279" ht="15.75" customHeight="1">
      <c r="A279" s="23"/>
      <c r="B279" s="23"/>
      <c r="D279" s="23"/>
      <c r="H279" s="23"/>
      <c r="I279" s="23"/>
      <c r="J279" s="23"/>
      <c r="L279" s="23"/>
      <c r="M279" s="23"/>
      <c r="N279" s="23"/>
      <c r="O279" s="23"/>
      <c r="P279" s="23"/>
      <c r="T279" s="23"/>
      <c r="U279" s="23"/>
      <c r="V279" s="23"/>
      <c r="X279" s="23"/>
      <c r="Y279" s="23"/>
      <c r="Z279" s="23"/>
    </row>
    <row r="280" ht="15.75" customHeight="1">
      <c r="A280" s="23"/>
      <c r="B280" s="23"/>
      <c r="D280" s="23"/>
      <c r="H280" s="23"/>
      <c r="I280" s="23"/>
      <c r="J280" s="23"/>
      <c r="L280" s="23"/>
      <c r="M280" s="23"/>
      <c r="N280" s="23"/>
      <c r="O280" s="23"/>
      <c r="P280" s="23"/>
      <c r="T280" s="23"/>
      <c r="U280" s="23"/>
      <c r="V280" s="23"/>
      <c r="X280" s="23"/>
      <c r="Y280" s="23"/>
      <c r="Z280" s="23"/>
    </row>
    <row r="281" ht="15.75" customHeight="1">
      <c r="A281" s="23"/>
      <c r="B281" s="23"/>
      <c r="D281" s="23"/>
      <c r="H281" s="23"/>
      <c r="I281" s="23"/>
      <c r="J281" s="23"/>
      <c r="L281" s="23"/>
      <c r="M281" s="23"/>
      <c r="N281" s="23"/>
      <c r="O281" s="23"/>
      <c r="P281" s="23"/>
      <c r="T281" s="23"/>
      <c r="U281" s="23"/>
      <c r="V281" s="23"/>
      <c r="X281" s="23"/>
      <c r="Y281" s="23"/>
      <c r="Z281" s="23"/>
    </row>
    <row r="282" ht="15.75" customHeight="1">
      <c r="A282" s="23"/>
      <c r="B282" s="23"/>
      <c r="D282" s="23"/>
      <c r="H282" s="23"/>
      <c r="I282" s="23"/>
      <c r="J282" s="23"/>
      <c r="L282" s="23"/>
      <c r="M282" s="23"/>
      <c r="N282" s="23"/>
      <c r="O282" s="23"/>
      <c r="P282" s="23"/>
      <c r="T282" s="23"/>
      <c r="U282" s="23"/>
      <c r="V282" s="23"/>
      <c r="X282" s="23"/>
      <c r="Y282" s="23"/>
      <c r="Z282" s="23"/>
    </row>
    <row r="283" ht="15.75" customHeight="1">
      <c r="A283" s="23"/>
      <c r="B283" s="23"/>
      <c r="D283" s="23"/>
      <c r="H283" s="23"/>
      <c r="I283" s="23"/>
      <c r="J283" s="23"/>
      <c r="L283" s="23"/>
      <c r="M283" s="23"/>
      <c r="N283" s="23"/>
      <c r="O283" s="23"/>
      <c r="P283" s="23"/>
      <c r="T283" s="23"/>
      <c r="U283" s="23"/>
      <c r="V283" s="23"/>
      <c r="X283" s="23"/>
      <c r="Y283" s="23"/>
      <c r="Z283" s="23"/>
    </row>
    <row r="284" ht="15.75" customHeight="1">
      <c r="A284" s="23"/>
      <c r="B284" s="23"/>
      <c r="D284" s="23"/>
      <c r="H284" s="23"/>
      <c r="I284" s="23"/>
      <c r="J284" s="23"/>
      <c r="L284" s="23"/>
      <c r="M284" s="23"/>
      <c r="N284" s="23"/>
      <c r="O284" s="23"/>
      <c r="P284" s="23"/>
      <c r="T284" s="23"/>
      <c r="U284" s="23"/>
      <c r="V284" s="23"/>
      <c r="X284" s="23"/>
      <c r="Y284" s="23"/>
      <c r="Z284" s="23"/>
    </row>
    <row r="285" ht="15.75" customHeight="1">
      <c r="A285" s="23"/>
      <c r="B285" s="23"/>
      <c r="D285" s="23"/>
      <c r="H285" s="23"/>
      <c r="I285" s="23"/>
      <c r="J285" s="23"/>
      <c r="L285" s="23"/>
      <c r="M285" s="23"/>
      <c r="N285" s="23"/>
      <c r="O285" s="23"/>
      <c r="P285" s="23"/>
      <c r="T285" s="23"/>
      <c r="U285" s="23"/>
      <c r="V285" s="23"/>
      <c r="X285" s="23"/>
      <c r="Y285" s="23"/>
      <c r="Z285" s="23"/>
    </row>
    <row r="286" ht="15.75" customHeight="1">
      <c r="A286" s="23"/>
      <c r="B286" s="23"/>
      <c r="D286" s="23"/>
      <c r="H286" s="23"/>
      <c r="I286" s="23"/>
      <c r="J286" s="23"/>
      <c r="L286" s="23"/>
      <c r="M286" s="23"/>
      <c r="N286" s="23"/>
      <c r="O286" s="23"/>
      <c r="P286" s="23"/>
      <c r="T286" s="23"/>
      <c r="U286" s="23"/>
      <c r="V286" s="23"/>
      <c r="X286" s="23"/>
      <c r="Y286" s="23"/>
      <c r="Z286" s="23"/>
    </row>
    <row r="287" ht="15.75" customHeight="1">
      <c r="A287" s="23"/>
      <c r="B287" s="23"/>
      <c r="D287" s="23"/>
      <c r="H287" s="23"/>
      <c r="I287" s="23"/>
      <c r="J287" s="23"/>
      <c r="L287" s="23"/>
      <c r="M287" s="23"/>
      <c r="N287" s="23"/>
      <c r="O287" s="23"/>
      <c r="P287" s="23"/>
      <c r="T287" s="23"/>
      <c r="U287" s="23"/>
      <c r="V287" s="23"/>
      <c r="X287" s="23"/>
      <c r="Y287" s="23"/>
      <c r="Z287" s="23"/>
    </row>
    <row r="288" ht="15.75" customHeight="1">
      <c r="A288" s="23"/>
      <c r="B288" s="23"/>
      <c r="D288" s="23"/>
      <c r="H288" s="23"/>
      <c r="I288" s="23"/>
      <c r="J288" s="23"/>
      <c r="L288" s="23"/>
      <c r="M288" s="23"/>
      <c r="N288" s="23"/>
      <c r="O288" s="23"/>
      <c r="P288" s="23"/>
      <c r="T288" s="23"/>
      <c r="U288" s="23"/>
      <c r="V288" s="23"/>
      <c r="X288" s="23"/>
      <c r="Y288" s="23"/>
      <c r="Z288" s="23"/>
    </row>
    <row r="289" ht="15.75" customHeight="1">
      <c r="A289" s="23"/>
      <c r="B289" s="23"/>
      <c r="D289" s="23"/>
      <c r="H289" s="23"/>
      <c r="I289" s="23"/>
      <c r="J289" s="23"/>
      <c r="L289" s="23"/>
      <c r="M289" s="23"/>
      <c r="N289" s="23"/>
      <c r="O289" s="23"/>
      <c r="P289" s="23"/>
      <c r="T289" s="23"/>
      <c r="U289" s="23"/>
      <c r="V289" s="23"/>
      <c r="X289" s="23"/>
      <c r="Y289" s="23"/>
      <c r="Z289" s="23"/>
    </row>
    <row r="290" ht="15.75" customHeight="1">
      <c r="A290" s="23"/>
      <c r="B290" s="23"/>
      <c r="D290" s="23"/>
      <c r="H290" s="23"/>
      <c r="I290" s="23"/>
      <c r="J290" s="23"/>
      <c r="L290" s="23"/>
      <c r="M290" s="23"/>
      <c r="N290" s="23"/>
      <c r="O290" s="23"/>
      <c r="P290" s="23"/>
      <c r="T290" s="23"/>
      <c r="U290" s="23"/>
      <c r="V290" s="23"/>
      <c r="X290" s="23"/>
      <c r="Y290" s="23"/>
      <c r="Z290" s="23"/>
    </row>
    <row r="291" ht="15.75" customHeight="1">
      <c r="A291" s="23"/>
      <c r="B291" s="23"/>
      <c r="D291" s="23"/>
      <c r="H291" s="23"/>
      <c r="I291" s="23"/>
      <c r="J291" s="23"/>
      <c r="L291" s="23"/>
      <c r="M291" s="23"/>
      <c r="N291" s="23"/>
      <c r="O291" s="23"/>
      <c r="P291" s="23"/>
      <c r="T291" s="23"/>
      <c r="U291" s="23"/>
      <c r="V291" s="23"/>
      <c r="X291" s="23"/>
      <c r="Y291" s="23"/>
      <c r="Z291" s="23"/>
    </row>
    <row r="292" ht="15.75" customHeight="1">
      <c r="A292" s="23"/>
      <c r="B292" s="23"/>
      <c r="D292" s="23"/>
      <c r="H292" s="23"/>
      <c r="I292" s="23"/>
      <c r="J292" s="23"/>
      <c r="L292" s="23"/>
      <c r="M292" s="23"/>
      <c r="N292" s="23"/>
      <c r="O292" s="23"/>
      <c r="P292" s="23"/>
      <c r="T292" s="23"/>
      <c r="U292" s="23"/>
      <c r="V292" s="23"/>
      <c r="X292" s="23"/>
      <c r="Y292" s="23"/>
      <c r="Z292" s="23"/>
    </row>
    <row r="293" ht="15.75" customHeight="1">
      <c r="A293" s="23"/>
      <c r="B293" s="23"/>
      <c r="D293" s="23"/>
      <c r="H293" s="23"/>
      <c r="I293" s="23"/>
      <c r="J293" s="23"/>
      <c r="L293" s="23"/>
      <c r="M293" s="23"/>
      <c r="N293" s="23"/>
      <c r="O293" s="23"/>
      <c r="P293" s="23"/>
      <c r="T293" s="23"/>
      <c r="U293" s="23"/>
      <c r="V293" s="23"/>
      <c r="X293" s="23"/>
      <c r="Y293" s="23"/>
      <c r="Z293" s="23"/>
    </row>
    <row r="294" ht="15.75" customHeight="1">
      <c r="A294" s="23"/>
      <c r="B294" s="23"/>
      <c r="D294" s="23"/>
      <c r="H294" s="23"/>
      <c r="I294" s="23"/>
      <c r="J294" s="23"/>
      <c r="L294" s="23"/>
      <c r="M294" s="23"/>
      <c r="N294" s="23"/>
      <c r="O294" s="23"/>
      <c r="P294" s="23"/>
      <c r="T294" s="23"/>
      <c r="U294" s="23"/>
      <c r="V294" s="23"/>
      <c r="X294" s="23"/>
      <c r="Y294" s="23"/>
      <c r="Z294" s="23"/>
    </row>
    <row r="295" ht="15.75" customHeight="1">
      <c r="A295" s="23"/>
      <c r="B295" s="23"/>
      <c r="D295" s="23"/>
      <c r="H295" s="23"/>
      <c r="I295" s="23"/>
      <c r="J295" s="23"/>
      <c r="L295" s="23"/>
      <c r="M295" s="23"/>
      <c r="N295" s="23"/>
      <c r="O295" s="23"/>
      <c r="P295" s="23"/>
      <c r="T295" s="23"/>
      <c r="U295" s="23"/>
      <c r="V295" s="23"/>
      <c r="X295" s="23"/>
      <c r="Y295" s="23"/>
      <c r="Z295" s="23"/>
    </row>
    <row r="296" ht="15.75" customHeight="1">
      <c r="A296" s="23"/>
      <c r="B296" s="23"/>
      <c r="D296" s="23"/>
      <c r="H296" s="23"/>
      <c r="I296" s="23"/>
      <c r="J296" s="23"/>
      <c r="L296" s="23"/>
      <c r="M296" s="23"/>
      <c r="N296" s="23"/>
      <c r="O296" s="23"/>
      <c r="P296" s="23"/>
      <c r="T296" s="23"/>
      <c r="U296" s="23"/>
      <c r="V296" s="23"/>
      <c r="X296" s="23"/>
      <c r="Y296" s="23"/>
      <c r="Z296" s="23"/>
    </row>
    <row r="297" ht="15.75" customHeight="1">
      <c r="A297" s="23"/>
      <c r="B297" s="23"/>
      <c r="D297" s="23"/>
      <c r="H297" s="23"/>
      <c r="I297" s="23"/>
      <c r="J297" s="23"/>
      <c r="L297" s="23"/>
      <c r="M297" s="23"/>
      <c r="N297" s="23"/>
      <c r="O297" s="23"/>
      <c r="P297" s="23"/>
      <c r="T297" s="23"/>
      <c r="U297" s="23"/>
      <c r="V297" s="23"/>
      <c r="X297" s="23"/>
      <c r="Y297" s="23"/>
      <c r="Z297" s="23"/>
    </row>
    <row r="298" ht="15.75" customHeight="1">
      <c r="A298" s="23"/>
      <c r="B298" s="23"/>
      <c r="D298" s="23"/>
      <c r="H298" s="23"/>
      <c r="I298" s="23"/>
      <c r="J298" s="23"/>
      <c r="L298" s="23"/>
      <c r="M298" s="23"/>
      <c r="N298" s="23"/>
      <c r="O298" s="23"/>
      <c r="P298" s="23"/>
      <c r="T298" s="23"/>
      <c r="U298" s="23"/>
      <c r="V298" s="23"/>
      <c r="X298" s="23"/>
      <c r="Y298" s="23"/>
      <c r="Z298" s="23"/>
    </row>
    <row r="299" ht="15.75" customHeight="1">
      <c r="A299" s="23"/>
      <c r="B299" s="23"/>
      <c r="D299" s="23"/>
      <c r="H299" s="23"/>
      <c r="I299" s="23"/>
      <c r="J299" s="23"/>
      <c r="L299" s="23"/>
      <c r="M299" s="23"/>
      <c r="N299" s="23"/>
      <c r="O299" s="23"/>
      <c r="P299" s="23"/>
      <c r="T299" s="23"/>
      <c r="U299" s="23"/>
      <c r="V299" s="23"/>
      <c r="X299" s="23"/>
      <c r="Y299" s="23"/>
      <c r="Z299" s="23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23"/>
      <c r="K300" s="45"/>
      <c r="L300" s="45"/>
      <c r="M300" s="45"/>
      <c r="N300" s="45"/>
      <c r="O300" s="45"/>
      <c r="P300" s="45"/>
      <c r="Q300" s="45"/>
      <c r="S300" s="45"/>
      <c r="T300" s="23"/>
      <c r="U300" s="23"/>
      <c r="V300" s="23"/>
      <c r="W300" s="45"/>
      <c r="X300" s="45"/>
      <c r="Y300" s="45"/>
      <c r="Z300" s="23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23"/>
      <c r="K301" s="45"/>
      <c r="L301" s="45"/>
      <c r="M301" s="45"/>
      <c r="N301" s="45"/>
      <c r="O301" s="45"/>
      <c r="P301" s="45"/>
      <c r="Q301" s="45"/>
      <c r="S301" s="45"/>
      <c r="T301" s="23"/>
      <c r="U301" s="23"/>
      <c r="V301" s="23"/>
      <c r="W301" s="45"/>
      <c r="X301" s="45"/>
      <c r="Y301" s="45"/>
      <c r="Z301" s="23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23"/>
      <c r="K302" s="45"/>
      <c r="L302" s="45"/>
      <c r="M302" s="45"/>
      <c r="N302" s="45"/>
      <c r="O302" s="45"/>
      <c r="P302" s="45"/>
      <c r="Q302" s="45"/>
      <c r="S302" s="45"/>
      <c r="T302" s="23"/>
      <c r="U302" s="23"/>
      <c r="V302" s="23"/>
      <c r="W302" s="45"/>
      <c r="X302" s="45"/>
      <c r="Y302" s="45"/>
      <c r="Z302" s="23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23"/>
      <c r="K303" s="45"/>
      <c r="L303" s="45"/>
      <c r="M303" s="45"/>
      <c r="N303" s="45"/>
      <c r="O303" s="45"/>
      <c r="P303" s="45"/>
      <c r="Q303" s="45"/>
      <c r="S303" s="45"/>
      <c r="T303" s="23"/>
      <c r="U303" s="23"/>
      <c r="V303" s="23"/>
      <c r="W303" s="45"/>
      <c r="X303" s="45"/>
      <c r="Y303" s="45"/>
      <c r="Z303" s="23"/>
    </row>
    <row r="304" ht="15.75" customHeight="1">
      <c r="A304" s="23"/>
      <c r="B304" s="23"/>
      <c r="D304" s="23"/>
      <c r="H304" s="23"/>
      <c r="I304" s="23"/>
      <c r="J304" s="23"/>
      <c r="L304" s="23"/>
      <c r="M304" s="23"/>
      <c r="N304" s="23"/>
      <c r="O304" s="23"/>
      <c r="P304" s="23"/>
      <c r="T304" s="23"/>
      <c r="U304" s="23"/>
      <c r="V304" s="23"/>
      <c r="X304" s="23"/>
      <c r="Y304" s="23"/>
      <c r="Z304" s="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Z$304"/>
  <mergeCells count="3">
    <mergeCell ref="A1:Z1"/>
    <mergeCell ref="A2:Z2"/>
    <mergeCell ref="A3:Z3"/>
  </mergeCells>
  <conditionalFormatting sqref="N5:N304">
    <cfRule type="cellIs" dxfId="2" priority="1" stopIfTrue="1" operator="equal">
      <formula>"уточняется"</formula>
    </cfRule>
  </conditionalFormatting>
  <conditionalFormatting sqref="N5:N304">
    <cfRule type="cellIs" dxfId="1" priority="2" stopIfTrue="1" operator="equal">
      <formula>"не исполняется"</formula>
    </cfRule>
  </conditionalFormatting>
  <conditionalFormatting sqref="N5:N304">
    <cfRule type="cellIs" dxfId="4" priority="3" stopIfTrue="1" operator="equal">
      <formula>"исполняется"</formula>
    </cfRule>
  </conditionalFormatting>
  <conditionalFormatting sqref="O5:O304">
    <cfRule type="cellIs" dxfId="0" priority="4" stopIfTrue="1" operator="equal">
      <formula>"неизвестно"</formula>
    </cfRule>
  </conditionalFormatting>
  <conditionalFormatting sqref="O5:O304">
    <cfRule type="cellIs" dxfId="1" priority="5" stopIfTrue="1" operator="equal">
      <formula>"конфликт"</formula>
    </cfRule>
  </conditionalFormatting>
  <conditionalFormatting sqref="O5:O304">
    <cfRule type="cellIs" dxfId="2" priority="6" stopIfTrue="1" operator="equal">
      <formula>"гипотеза"</formula>
    </cfRule>
  </conditionalFormatting>
  <conditionalFormatting sqref="O5:O304">
    <cfRule type="cellIs" dxfId="3" priority="7" stopIfTrue="1" operator="equal">
      <formula>"кандидат"</formula>
    </cfRule>
  </conditionalFormatting>
  <conditionalFormatting sqref="O5:O304">
    <cfRule type="cellIs" dxfId="4" priority="8" stopIfTrue="1" operator="equal">
      <formula>"принято"</formula>
    </cfRule>
  </conditionalFormatting>
  <dataValidations>
    <dataValidation type="list" allowBlank="1" showInputMessage="1" showErrorMessage="1" prompt="Режим исполнения" sqref="I5:I304">
      <formula1>'Система'!$G$33:$G$36</formula1>
    </dataValidation>
    <dataValidation type="custom" allowBlank="1" showDropDown="1" showInputMessage="1" showErrorMessage="1" prompt="Стабильный ID формата act-..." sqref="A5:A304">
      <formula1>OR(A5="",REGEXMATCH(A5,"^act-[A-Za-z0-9._-]+$"))</formula1>
    </dataValidation>
    <dataValidation type="list" allowBlank="1" showInputMessage="1" showErrorMessage="1" prompt="Тип действия" sqref="D5:D304">
      <formula1>'Система'!$E$33:$E$38</formula1>
    </dataValidation>
    <dataValidation type="list" allowBlank="1" showInputMessage="1" showErrorMessage="1" prompt="Версия" sqref="M5:M304">
      <formula1>'Система'!$AE$33:$AE$132</formula1>
    </dataValidation>
    <dataValidation type="list" allowBlank="1" showInputMessage="1" showErrorMessage="1" prompt="Статус исполнения" sqref="N5:N304">
      <formula1>'Система'!$C$33:$C$36</formula1>
    </dataValidation>
    <dataValidation type="list" allowBlank="1" showInputMessage="1" showErrorMessage="1" prompt="Входной объект" sqref="T5:T304">
      <formula1>'Система'!$AA$33:$AA$232</formula1>
    </dataValidation>
    <dataValidation type="list" allowBlank="1" showInputMessage="1" showErrorMessage="1" prompt="Связанный подпроцесс" sqref="V5:V304">
      <formula1>'Система'!$Y$33:$Y$232</formula1>
    </dataValidation>
    <dataValidation type="list" allowBlank="1" showInputMessage="1" showErrorMessage="1" prompt="Показывать действие на схеме" sqref="X5:X304">
      <formula1>'Система'!$K$33:$K$34</formula1>
    </dataValidation>
    <dataValidation type="list" allowBlank="1" showInputMessage="1" showErrorMessage="1" prompt="Процесс" sqref="B5:B304">
      <formula1>'Система'!$Y$33:$Y$232</formula1>
    </dataValidation>
    <dataValidation type="list" allowBlank="1" showInputMessage="1" showErrorMessage="1" prompt="Слой модели" sqref="L5:L304">
      <formula1>'Система'!$B$33:$B$34</formula1>
    </dataValidation>
    <dataValidation type="list" allowBlank="1" showInputMessage="1" showErrorMessage="1" prompt="Переопределение дорожки" sqref="Z5:Z304">
      <formula1>'Система'!$AC$33:$AC$232</formula1>
    </dataValidation>
    <dataValidation type="decimal" operator="greaterThanOrEqual" allowBlank="1" showDropDown="1" showInputMessage="1" showErrorMessage="1" prompt="Порядок на схеме: 0 или больше" sqref="Y5:Y304">
      <formula1>0.0</formula1>
    </dataValidation>
    <dataValidation type="list" allowBlank="1" showInputMessage="1" showErrorMessage="1" prompt="Механизм или интерфейс исполнения" sqref="J5:J304">
      <formula1>'Система'!$AD$33:$AD$332</formula1>
    </dataValidation>
    <dataValidation type="list" allowBlank="1" showInputMessage="1" showErrorMessage="1" prompt="Статус знания" sqref="O5:O304">
      <formula1>'Система'!$A$33:$A$38</formula1>
    </dataValidation>
    <dataValidation type="list" allowBlank="1" showInputMessage="1" showErrorMessage="1" prompt="Источник" sqref="P5:P304">
      <formula1>'Система'!$AF$33:$AF$232</formula1>
    </dataValidation>
    <dataValidation type="list" allowBlank="1" showInputMessage="1" showErrorMessage="1" prompt="Ответственная позиция" sqref="H5:H304">
      <formula1>'Система'!$AC$33:$AC$232</formula1>
    </dataValidation>
    <dataValidation type="list" allowBlank="1" showInputMessage="1" showErrorMessage="1" prompt="Выходной объект" sqref="U5:U304">
      <formula1>'Система'!$AA$33:$AA$232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5" width="15.0"/>
    <col customWidth="1" min="6" max="6" width="31.13"/>
    <col customWidth="1" min="7" max="7" width="15.0"/>
    <col customWidth="1" min="8" max="8" width="31.13"/>
    <col customWidth="1" min="9" max="13" width="15.0"/>
    <col customWidth="1" min="14" max="14" width="31.13"/>
    <col customWidth="1" min="15" max="16" width="14.5"/>
    <col customWidth="1" min="17" max="17" width="22.0"/>
    <col customWidth="1" min="18" max="19" width="15.75"/>
    <col customWidth="1" min="20" max="20" width="12.63"/>
    <col customWidth="1" min="21" max="22" width="15.13"/>
    <col customWidth="1" min="23" max="26" width="8.63"/>
  </cols>
  <sheetData>
    <row r="1" ht="25.5" customHeight="1">
      <c r="A1" s="1" t="s">
        <v>567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2.5" customHeight="1">
      <c r="A2" s="4" t="s">
        <v>568</v>
      </c>
    </row>
    <row r="3" ht="19.5" customHeight="1">
      <c r="A3" s="7" t="s">
        <v>8</v>
      </c>
    </row>
    <row r="4" ht="39.0" customHeight="1">
      <c r="A4" s="10" t="s">
        <v>569</v>
      </c>
      <c r="B4" s="10" t="s">
        <v>550</v>
      </c>
      <c r="C4" s="13" t="s">
        <v>570</v>
      </c>
      <c r="D4" s="10" t="s">
        <v>571</v>
      </c>
      <c r="E4" s="13" t="s">
        <v>572</v>
      </c>
      <c r="F4" s="13" t="s">
        <v>573</v>
      </c>
      <c r="G4" s="13" t="s">
        <v>574</v>
      </c>
      <c r="H4" s="13" t="s">
        <v>575</v>
      </c>
      <c r="I4" s="10" t="s">
        <v>576</v>
      </c>
      <c r="J4" s="10" t="s">
        <v>577</v>
      </c>
      <c r="K4" s="13" t="s">
        <v>319</v>
      </c>
      <c r="L4" s="10" t="s">
        <v>36</v>
      </c>
      <c r="M4" s="10" t="s">
        <v>38</v>
      </c>
      <c r="N4" s="13" t="s">
        <v>52</v>
      </c>
      <c r="O4" s="48" t="s">
        <v>438</v>
      </c>
      <c r="P4" s="48" t="s">
        <v>545</v>
      </c>
      <c r="Q4" s="47" t="s">
        <v>578</v>
      </c>
      <c r="R4" s="48" t="s">
        <v>579</v>
      </c>
      <c r="S4" s="48" t="s">
        <v>564</v>
      </c>
      <c r="T4" s="47" t="s">
        <v>580</v>
      </c>
      <c r="U4" s="48" t="s">
        <v>40</v>
      </c>
      <c r="V4" s="47" t="s">
        <v>44</v>
      </c>
    </row>
    <row r="5">
      <c r="A5" s="23"/>
      <c r="B5" s="23"/>
      <c r="C5" s="23"/>
      <c r="D5" s="23"/>
      <c r="E5" s="23"/>
      <c r="G5" s="23"/>
      <c r="I5" s="23"/>
      <c r="J5" s="23"/>
      <c r="K5" s="23"/>
      <c r="L5" s="23"/>
      <c r="M5" s="23"/>
      <c r="O5" s="23"/>
      <c r="P5" s="23"/>
      <c r="R5" s="23"/>
      <c r="S5" s="23"/>
      <c r="T5" s="23"/>
    </row>
    <row r="6">
      <c r="A6" s="23"/>
      <c r="B6" s="23"/>
      <c r="C6" s="23"/>
      <c r="D6" s="23"/>
      <c r="E6" s="23"/>
      <c r="G6" s="23"/>
      <c r="I6" s="23"/>
      <c r="J6" s="23"/>
      <c r="K6" s="23"/>
      <c r="L6" s="23"/>
      <c r="M6" s="23"/>
      <c r="O6" s="23"/>
      <c r="P6" s="23"/>
      <c r="R6" s="23"/>
      <c r="S6" s="23"/>
      <c r="T6" s="23"/>
    </row>
    <row r="7">
      <c r="A7" s="23"/>
      <c r="B7" s="23"/>
      <c r="C7" s="23"/>
      <c r="D7" s="23"/>
      <c r="E7" s="23"/>
      <c r="G7" s="23"/>
      <c r="I7" s="23"/>
      <c r="J7" s="23"/>
      <c r="K7" s="23"/>
      <c r="L7" s="23"/>
      <c r="M7" s="23"/>
      <c r="O7" s="23"/>
      <c r="P7" s="23"/>
      <c r="R7" s="23"/>
      <c r="S7" s="23"/>
      <c r="T7" s="23"/>
    </row>
    <row r="8">
      <c r="A8" s="23"/>
      <c r="B8" s="23"/>
      <c r="C8" s="23"/>
      <c r="D8" s="23"/>
      <c r="E8" s="23"/>
      <c r="G8" s="23"/>
      <c r="I8" s="23"/>
      <c r="J8" s="23"/>
      <c r="K8" s="23"/>
      <c r="L8" s="23"/>
      <c r="M8" s="23"/>
      <c r="O8" s="23"/>
      <c r="P8" s="23"/>
      <c r="R8" s="23"/>
      <c r="S8" s="23"/>
      <c r="T8" s="23"/>
    </row>
    <row r="9">
      <c r="A9" s="23"/>
      <c r="B9" s="23"/>
      <c r="C9" s="23"/>
      <c r="D9" s="23"/>
      <c r="E9" s="23"/>
      <c r="G9" s="23"/>
      <c r="I9" s="23"/>
      <c r="J9" s="23"/>
      <c r="K9" s="23"/>
      <c r="L9" s="23"/>
      <c r="M9" s="23"/>
      <c r="O9" s="23"/>
      <c r="P9" s="23"/>
      <c r="R9" s="23"/>
      <c r="S9" s="23"/>
      <c r="T9" s="23"/>
    </row>
    <row r="10">
      <c r="A10" s="23"/>
      <c r="B10" s="23"/>
      <c r="C10" s="23"/>
      <c r="D10" s="23"/>
      <c r="E10" s="23"/>
      <c r="G10" s="23"/>
      <c r="I10" s="23"/>
      <c r="J10" s="23"/>
      <c r="K10" s="23"/>
      <c r="L10" s="23"/>
      <c r="M10" s="23"/>
      <c r="O10" s="23"/>
      <c r="P10" s="23"/>
      <c r="R10" s="23"/>
      <c r="S10" s="23"/>
      <c r="T10" s="23"/>
    </row>
    <row r="11">
      <c r="A11" s="23"/>
      <c r="B11" s="23"/>
      <c r="C11" s="23"/>
      <c r="D11" s="23"/>
      <c r="E11" s="23"/>
      <c r="G11" s="23"/>
      <c r="I11" s="23"/>
      <c r="J11" s="23"/>
      <c r="K11" s="23"/>
      <c r="L11" s="23"/>
      <c r="M11" s="23"/>
      <c r="O11" s="23"/>
      <c r="P11" s="23"/>
      <c r="R11" s="23"/>
      <c r="S11" s="23"/>
      <c r="T11" s="23"/>
    </row>
    <row r="12">
      <c r="A12" s="23"/>
      <c r="B12" s="23"/>
      <c r="C12" s="23"/>
      <c r="D12" s="23"/>
      <c r="E12" s="23"/>
      <c r="G12" s="23"/>
      <c r="I12" s="23"/>
      <c r="J12" s="23"/>
      <c r="K12" s="23"/>
      <c r="L12" s="23"/>
      <c r="M12" s="23"/>
      <c r="O12" s="23"/>
      <c r="P12" s="23"/>
      <c r="R12" s="23"/>
      <c r="S12" s="23"/>
      <c r="T12" s="23"/>
    </row>
    <row r="13">
      <c r="A13" s="23"/>
      <c r="B13" s="23"/>
      <c r="C13" s="23"/>
      <c r="D13" s="23"/>
      <c r="E13" s="23"/>
      <c r="G13" s="23"/>
      <c r="I13" s="23"/>
      <c r="J13" s="23"/>
      <c r="K13" s="23"/>
      <c r="L13" s="23"/>
      <c r="M13" s="23"/>
      <c r="O13" s="23"/>
      <c r="P13" s="23"/>
      <c r="R13" s="23"/>
      <c r="S13" s="23"/>
      <c r="T13" s="23"/>
    </row>
    <row r="14">
      <c r="A14" s="23"/>
      <c r="B14" s="23"/>
      <c r="C14" s="23"/>
      <c r="D14" s="23"/>
      <c r="E14" s="23"/>
      <c r="G14" s="23"/>
      <c r="I14" s="23"/>
      <c r="J14" s="23"/>
      <c r="K14" s="23"/>
      <c r="L14" s="23"/>
      <c r="M14" s="23"/>
      <c r="O14" s="23"/>
      <c r="P14" s="23"/>
      <c r="R14" s="23"/>
      <c r="S14" s="23"/>
      <c r="T14" s="23"/>
    </row>
    <row r="15">
      <c r="A15" s="23"/>
      <c r="B15" s="23"/>
      <c r="C15" s="23"/>
      <c r="D15" s="23"/>
      <c r="E15" s="23"/>
      <c r="G15" s="23"/>
      <c r="I15" s="23"/>
      <c r="J15" s="23"/>
      <c r="K15" s="23"/>
      <c r="L15" s="23"/>
      <c r="M15" s="23"/>
      <c r="O15" s="23"/>
      <c r="P15" s="23"/>
      <c r="R15" s="23"/>
      <c r="S15" s="23"/>
      <c r="T15" s="23"/>
    </row>
    <row r="16">
      <c r="A16" s="23"/>
      <c r="B16" s="23"/>
      <c r="C16" s="23"/>
      <c r="D16" s="23"/>
      <c r="E16" s="23"/>
      <c r="G16" s="23"/>
      <c r="I16" s="23"/>
      <c r="J16" s="23"/>
      <c r="K16" s="23"/>
      <c r="L16" s="23"/>
      <c r="M16" s="23"/>
      <c r="O16" s="23"/>
      <c r="P16" s="23"/>
      <c r="R16" s="23"/>
      <c r="S16" s="23"/>
      <c r="T16" s="23"/>
    </row>
    <row r="17">
      <c r="A17" s="23"/>
      <c r="B17" s="23"/>
      <c r="C17" s="23"/>
      <c r="D17" s="23"/>
      <c r="E17" s="23"/>
      <c r="G17" s="23"/>
      <c r="I17" s="23"/>
      <c r="J17" s="23"/>
      <c r="K17" s="23"/>
      <c r="L17" s="23"/>
      <c r="M17" s="23"/>
      <c r="O17" s="23"/>
      <c r="P17" s="23"/>
      <c r="R17" s="23"/>
      <c r="S17" s="23"/>
      <c r="T17" s="23"/>
    </row>
    <row r="18">
      <c r="A18" s="23"/>
      <c r="B18" s="23"/>
      <c r="C18" s="23"/>
      <c r="D18" s="23"/>
      <c r="E18" s="23"/>
      <c r="G18" s="23"/>
      <c r="I18" s="23"/>
      <c r="J18" s="23"/>
      <c r="K18" s="23"/>
      <c r="L18" s="23"/>
      <c r="M18" s="23"/>
      <c r="O18" s="23"/>
      <c r="P18" s="23"/>
      <c r="R18" s="23"/>
      <c r="S18" s="23"/>
      <c r="T18" s="23"/>
    </row>
    <row r="19">
      <c r="A19" s="23"/>
      <c r="B19" s="23"/>
      <c r="C19" s="23"/>
      <c r="D19" s="23"/>
      <c r="E19" s="23"/>
      <c r="G19" s="23"/>
      <c r="I19" s="23"/>
      <c r="J19" s="23"/>
      <c r="K19" s="23"/>
      <c r="L19" s="23"/>
      <c r="M19" s="23"/>
      <c r="O19" s="23"/>
      <c r="P19" s="23"/>
      <c r="R19" s="23"/>
      <c r="S19" s="23"/>
      <c r="T19" s="23"/>
    </row>
    <row r="20">
      <c r="A20" s="23"/>
      <c r="B20" s="23"/>
      <c r="C20" s="23"/>
      <c r="D20" s="23"/>
      <c r="E20" s="23"/>
      <c r="G20" s="23"/>
      <c r="I20" s="23"/>
      <c r="J20" s="23"/>
      <c r="K20" s="23"/>
      <c r="L20" s="23"/>
      <c r="M20" s="23"/>
      <c r="O20" s="23"/>
      <c r="P20" s="23"/>
      <c r="R20" s="23"/>
      <c r="S20" s="23"/>
      <c r="T20" s="23"/>
    </row>
    <row r="21" ht="15.75" customHeight="1">
      <c r="A21" s="23"/>
      <c r="B21" s="23"/>
      <c r="C21" s="23"/>
      <c r="D21" s="23"/>
      <c r="E21" s="23"/>
      <c r="G21" s="23"/>
      <c r="I21" s="23"/>
      <c r="J21" s="23"/>
      <c r="K21" s="23"/>
      <c r="L21" s="23"/>
      <c r="M21" s="23"/>
      <c r="O21" s="23"/>
      <c r="P21" s="23"/>
      <c r="R21" s="23"/>
      <c r="S21" s="23"/>
      <c r="T21" s="23"/>
    </row>
    <row r="22" ht="15.75" customHeight="1">
      <c r="A22" s="23"/>
      <c r="B22" s="23"/>
      <c r="C22" s="23"/>
      <c r="D22" s="23"/>
      <c r="E22" s="23"/>
      <c r="G22" s="23"/>
      <c r="I22" s="23"/>
      <c r="J22" s="23"/>
      <c r="K22" s="23"/>
      <c r="L22" s="23"/>
      <c r="M22" s="23"/>
      <c r="O22" s="23"/>
      <c r="P22" s="23"/>
      <c r="R22" s="23"/>
      <c r="S22" s="23"/>
      <c r="T22" s="23"/>
    </row>
    <row r="23" ht="15.75" customHeight="1">
      <c r="A23" s="23"/>
      <c r="B23" s="23"/>
      <c r="C23" s="23"/>
      <c r="D23" s="23"/>
      <c r="E23" s="23"/>
      <c r="G23" s="23"/>
      <c r="I23" s="23"/>
      <c r="J23" s="23"/>
      <c r="K23" s="23"/>
      <c r="L23" s="23"/>
      <c r="M23" s="23"/>
      <c r="O23" s="23"/>
      <c r="P23" s="23"/>
      <c r="R23" s="23"/>
      <c r="S23" s="23"/>
      <c r="T23" s="23"/>
    </row>
    <row r="24" ht="15.75" customHeight="1">
      <c r="A24" s="23"/>
      <c r="B24" s="23"/>
      <c r="C24" s="23"/>
      <c r="D24" s="23"/>
      <c r="E24" s="23"/>
      <c r="G24" s="23"/>
      <c r="I24" s="23"/>
      <c r="J24" s="23"/>
      <c r="K24" s="23"/>
      <c r="L24" s="23"/>
      <c r="M24" s="23"/>
      <c r="O24" s="23"/>
      <c r="P24" s="23"/>
      <c r="R24" s="23"/>
      <c r="S24" s="23"/>
      <c r="T24" s="23"/>
    </row>
    <row r="25" ht="15.75" customHeight="1">
      <c r="A25" s="23"/>
      <c r="B25" s="23"/>
      <c r="C25" s="23"/>
      <c r="D25" s="23"/>
      <c r="E25" s="23"/>
      <c r="G25" s="23"/>
      <c r="I25" s="23"/>
      <c r="J25" s="23"/>
      <c r="K25" s="23"/>
      <c r="L25" s="23"/>
      <c r="M25" s="23"/>
      <c r="O25" s="23"/>
      <c r="P25" s="23"/>
      <c r="R25" s="23"/>
      <c r="S25" s="23"/>
      <c r="T25" s="23"/>
    </row>
    <row r="26" ht="15.75" customHeight="1">
      <c r="A26" s="23"/>
      <c r="B26" s="23"/>
      <c r="C26" s="23"/>
      <c r="D26" s="23"/>
      <c r="E26" s="23"/>
      <c r="G26" s="23"/>
      <c r="I26" s="23"/>
      <c r="J26" s="23"/>
      <c r="K26" s="23"/>
      <c r="L26" s="23"/>
      <c r="M26" s="23"/>
      <c r="O26" s="23"/>
      <c r="P26" s="23"/>
      <c r="R26" s="23"/>
      <c r="S26" s="23"/>
      <c r="T26" s="23"/>
    </row>
    <row r="27" ht="15.75" customHeight="1">
      <c r="A27" s="23"/>
      <c r="B27" s="23"/>
      <c r="C27" s="23"/>
      <c r="D27" s="23"/>
      <c r="E27" s="23"/>
      <c r="G27" s="23"/>
      <c r="I27" s="23"/>
      <c r="J27" s="23"/>
      <c r="K27" s="23"/>
      <c r="L27" s="23"/>
      <c r="M27" s="23"/>
      <c r="O27" s="23"/>
      <c r="P27" s="23"/>
      <c r="R27" s="23"/>
      <c r="S27" s="23"/>
      <c r="T27" s="23"/>
    </row>
    <row r="28" ht="15.75" customHeight="1">
      <c r="A28" s="23"/>
      <c r="B28" s="23"/>
      <c r="C28" s="23"/>
      <c r="D28" s="23"/>
      <c r="E28" s="23"/>
      <c r="G28" s="23"/>
      <c r="I28" s="23"/>
      <c r="J28" s="23"/>
      <c r="K28" s="23"/>
      <c r="L28" s="23"/>
      <c r="M28" s="23"/>
      <c r="O28" s="23"/>
      <c r="P28" s="23"/>
      <c r="R28" s="23"/>
      <c r="S28" s="23"/>
      <c r="T28" s="23"/>
    </row>
    <row r="29" ht="15.75" customHeight="1">
      <c r="A29" s="23"/>
      <c r="B29" s="23"/>
      <c r="C29" s="23"/>
      <c r="D29" s="23"/>
      <c r="E29" s="23"/>
      <c r="G29" s="23"/>
      <c r="I29" s="23"/>
      <c r="J29" s="23"/>
      <c r="K29" s="23"/>
      <c r="L29" s="23"/>
      <c r="M29" s="23"/>
      <c r="O29" s="23"/>
      <c r="P29" s="23"/>
      <c r="R29" s="23"/>
      <c r="S29" s="23"/>
      <c r="T29" s="23"/>
    </row>
    <row r="30" ht="15.75" customHeight="1">
      <c r="A30" s="23"/>
      <c r="B30" s="23"/>
      <c r="C30" s="23"/>
      <c r="D30" s="23"/>
      <c r="E30" s="23"/>
      <c r="G30" s="23"/>
      <c r="I30" s="23"/>
      <c r="J30" s="23"/>
      <c r="K30" s="23"/>
      <c r="L30" s="23"/>
      <c r="M30" s="23"/>
      <c r="O30" s="23"/>
      <c r="P30" s="23"/>
      <c r="R30" s="23"/>
      <c r="S30" s="23"/>
      <c r="T30" s="23"/>
    </row>
    <row r="31" ht="15.75" customHeight="1">
      <c r="A31" s="23"/>
      <c r="B31" s="23"/>
      <c r="C31" s="23"/>
      <c r="D31" s="23"/>
      <c r="E31" s="23"/>
      <c r="G31" s="23"/>
      <c r="I31" s="23"/>
      <c r="J31" s="23"/>
      <c r="K31" s="23"/>
      <c r="L31" s="23"/>
      <c r="M31" s="23"/>
      <c r="O31" s="23"/>
      <c r="P31" s="23"/>
      <c r="R31" s="23"/>
      <c r="S31" s="23"/>
      <c r="T31" s="23"/>
    </row>
    <row r="32" ht="15.75" customHeight="1">
      <c r="A32" s="23"/>
      <c r="B32" s="23"/>
      <c r="C32" s="23"/>
      <c r="D32" s="23"/>
      <c r="E32" s="23"/>
      <c r="G32" s="23"/>
      <c r="I32" s="23"/>
      <c r="J32" s="23"/>
      <c r="K32" s="23"/>
      <c r="L32" s="23"/>
      <c r="M32" s="23"/>
      <c r="O32" s="23"/>
      <c r="P32" s="23"/>
      <c r="R32" s="23"/>
      <c r="S32" s="23"/>
      <c r="T32" s="23"/>
    </row>
    <row r="33" ht="15.75" customHeight="1">
      <c r="A33" s="23"/>
      <c r="B33" s="23"/>
      <c r="C33" s="23"/>
      <c r="D33" s="23"/>
      <c r="E33" s="23"/>
      <c r="G33" s="23"/>
      <c r="I33" s="23"/>
      <c r="J33" s="23"/>
      <c r="K33" s="23"/>
      <c r="L33" s="23"/>
      <c r="M33" s="23"/>
      <c r="O33" s="23"/>
      <c r="P33" s="23"/>
      <c r="R33" s="23"/>
      <c r="S33" s="23"/>
      <c r="T33" s="23"/>
    </row>
    <row r="34" ht="15.75" customHeight="1">
      <c r="A34" s="23"/>
      <c r="B34" s="23"/>
      <c r="C34" s="23"/>
      <c r="D34" s="23"/>
      <c r="E34" s="23"/>
      <c r="G34" s="23"/>
      <c r="I34" s="23"/>
      <c r="J34" s="23"/>
      <c r="K34" s="23"/>
      <c r="L34" s="23"/>
      <c r="M34" s="23"/>
      <c r="O34" s="23"/>
      <c r="P34" s="23"/>
      <c r="R34" s="23"/>
      <c r="S34" s="23"/>
      <c r="T34" s="23"/>
    </row>
    <row r="35" ht="15.75" customHeight="1">
      <c r="A35" s="23"/>
      <c r="B35" s="23"/>
      <c r="C35" s="23"/>
      <c r="D35" s="23"/>
      <c r="E35" s="23"/>
      <c r="G35" s="23"/>
      <c r="I35" s="23"/>
      <c r="J35" s="23"/>
      <c r="K35" s="23"/>
      <c r="L35" s="23"/>
      <c r="M35" s="23"/>
      <c r="O35" s="23"/>
      <c r="P35" s="23"/>
      <c r="R35" s="23"/>
      <c r="S35" s="23"/>
      <c r="T35" s="23"/>
    </row>
    <row r="36" ht="15.75" customHeight="1">
      <c r="A36" s="23"/>
      <c r="B36" s="23"/>
      <c r="C36" s="23"/>
      <c r="D36" s="23"/>
      <c r="E36" s="23"/>
      <c r="G36" s="23"/>
      <c r="I36" s="23"/>
      <c r="J36" s="23"/>
      <c r="K36" s="23"/>
      <c r="L36" s="23"/>
      <c r="M36" s="23"/>
      <c r="O36" s="23"/>
      <c r="P36" s="23"/>
      <c r="R36" s="23"/>
      <c r="S36" s="23"/>
      <c r="T36" s="23"/>
    </row>
    <row r="37" ht="15.75" customHeight="1">
      <c r="A37" s="23"/>
      <c r="B37" s="23"/>
      <c r="C37" s="23"/>
      <c r="D37" s="23"/>
      <c r="E37" s="23"/>
      <c r="G37" s="23"/>
      <c r="I37" s="23"/>
      <c r="J37" s="23"/>
      <c r="K37" s="23"/>
      <c r="L37" s="23"/>
      <c r="M37" s="23"/>
      <c r="O37" s="23"/>
      <c r="P37" s="23"/>
      <c r="R37" s="23"/>
      <c r="S37" s="23"/>
      <c r="T37" s="23"/>
    </row>
    <row r="38" ht="15.75" customHeight="1">
      <c r="A38" s="23"/>
      <c r="B38" s="23"/>
      <c r="C38" s="23"/>
      <c r="D38" s="23"/>
      <c r="E38" s="23"/>
      <c r="G38" s="23"/>
      <c r="I38" s="23"/>
      <c r="J38" s="23"/>
      <c r="K38" s="23"/>
      <c r="L38" s="23"/>
      <c r="M38" s="23"/>
      <c r="O38" s="23"/>
      <c r="P38" s="23"/>
      <c r="R38" s="23"/>
      <c r="S38" s="23"/>
      <c r="T38" s="23"/>
    </row>
    <row r="39" ht="15.75" customHeight="1">
      <c r="A39" s="23"/>
      <c r="B39" s="23"/>
      <c r="C39" s="23"/>
      <c r="D39" s="23"/>
      <c r="E39" s="23"/>
      <c r="G39" s="23"/>
      <c r="I39" s="23"/>
      <c r="J39" s="23"/>
      <c r="K39" s="23"/>
      <c r="L39" s="23"/>
      <c r="M39" s="23"/>
      <c r="O39" s="23"/>
      <c r="P39" s="23"/>
      <c r="R39" s="23"/>
      <c r="S39" s="23"/>
      <c r="T39" s="23"/>
    </row>
    <row r="40" ht="15.75" customHeight="1">
      <c r="A40" s="23"/>
      <c r="B40" s="23"/>
      <c r="C40" s="23"/>
      <c r="D40" s="23"/>
      <c r="E40" s="23"/>
      <c r="G40" s="23"/>
      <c r="I40" s="23"/>
      <c r="J40" s="23"/>
      <c r="K40" s="23"/>
      <c r="L40" s="23"/>
      <c r="M40" s="23"/>
      <c r="O40" s="23"/>
      <c r="P40" s="23"/>
      <c r="R40" s="23"/>
      <c r="S40" s="23"/>
      <c r="T40" s="23"/>
    </row>
    <row r="41" ht="15.75" customHeight="1">
      <c r="A41" s="23"/>
      <c r="B41" s="23"/>
      <c r="C41" s="23"/>
      <c r="D41" s="23"/>
      <c r="E41" s="23"/>
      <c r="G41" s="23"/>
      <c r="I41" s="23"/>
      <c r="J41" s="23"/>
      <c r="K41" s="23"/>
      <c r="L41" s="23"/>
      <c r="M41" s="23"/>
      <c r="O41" s="23"/>
      <c r="P41" s="23"/>
      <c r="R41" s="23"/>
      <c r="S41" s="23"/>
      <c r="T41" s="23"/>
    </row>
    <row r="42" ht="15.75" customHeight="1">
      <c r="A42" s="23"/>
      <c r="B42" s="23"/>
      <c r="C42" s="23"/>
      <c r="D42" s="23"/>
      <c r="E42" s="23"/>
      <c r="G42" s="23"/>
      <c r="I42" s="23"/>
      <c r="J42" s="23"/>
      <c r="K42" s="23"/>
      <c r="L42" s="23"/>
      <c r="M42" s="23"/>
      <c r="O42" s="23"/>
      <c r="P42" s="23"/>
      <c r="R42" s="23"/>
      <c r="S42" s="23"/>
      <c r="T42" s="23"/>
    </row>
    <row r="43" ht="15.75" customHeight="1">
      <c r="A43" s="23"/>
      <c r="B43" s="23"/>
      <c r="C43" s="23"/>
      <c r="D43" s="23"/>
      <c r="E43" s="23"/>
      <c r="G43" s="23"/>
      <c r="I43" s="23"/>
      <c r="J43" s="23"/>
      <c r="K43" s="23"/>
      <c r="L43" s="23"/>
      <c r="M43" s="23"/>
      <c r="O43" s="23"/>
      <c r="P43" s="23"/>
      <c r="R43" s="23"/>
      <c r="S43" s="23"/>
      <c r="T43" s="23"/>
    </row>
    <row r="44" ht="15.75" customHeight="1">
      <c r="A44" s="23"/>
      <c r="B44" s="23"/>
      <c r="C44" s="23"/>
      <c r="D44" s="23"/>
      <c r="E44" s="23"/>
      <c r="G44" s="23"/>
      <c r="I44" s="23"/>
      <c r="J44" s="23"/>
      <c r="K44" s="23"/>
      <c r="L44" s="23"/>
      <c r="M44" s="23"/>
      <c r="O44" s="23"/>
      <c r="P44" s="23"/>
      <c r="R44" s="23"/>
      <c r="S44" s="23"/>
      <c r="T44" s="23"/>
    </row>
    <row r="45" ht="15.75" customHeight="1">
      <c r="A45" s="23"/>
      <c r="B45" s="23"/>
      <c r="C45" s="23"/>
      <c r="D45" s="23"/>
      <c r="E45" s="23"/>
      <c r="G45" s="23"/>
      <c r="I45" s="23"/>
      <c r="J45" s="23"/>
      <c r="K45" s="23"/>
      <c r="L45" s="23"/>
      <c r="M45" s="23"/>
      <c r="O45" s="23"/>
      <c r="P45" s="23"/>
      <c r="R45" s="23"/>
      <c r="S45" s="23"/>
      <c r="T45" s="23"/>
    </row>
    <row r="46" ht="15.75" customHeight="1">
      <c r="A46" s="23"/>
      <c r="B46" s="23"/>
      <c r="C46" s="23"/>
      <c r="D46" s="23"/>
      <c r="E46" s="23"/>
      <c r="G46" s="23"/>
      <c r="I46" s="23"/>
      <c r="J46" s="23"/>
      <c r="K46" s="23"/>
      <c r="L46" s="23"/>
      <c r="M46" s="23"/>
      <c r="O46" s="23"/>
      <c r="P46" s="23"/>
      <c r="R46" s="23"/>
      <c r="S46" s="23"/>
      <c r="T46" s="23"/>
    </row>
    <row r="47" ht="15.75" customHeight="1">
      <c r="A47" s="23"/>
      <c r="B47" s="23"/>
      <c r="C47" s="23"/>
      <c r="D47" s="23"/>
      <c r="E47" s="23"/>
      <c r="G47" s="23"/>
      <c r="I47" s="23"/>
      <c r="J47" s="23"/>
      <c r="K47" s="23"/>
      <c r="L47" s="23"/>
      <c r="M47" s="23"/>
      <c r="O47" s="23"/>
      <c r="P47" s="23"/>
      <c r="R47" s="23"/>
      <c r="S47" s="23"/>
      <c r="T47" s="23"/>
    </row>
    <row r="48" ht="15.75" customHeight="1">
      <c r="A48" s="23"/>
      <c r="B48" s="23"/>
      <c r="C48" s="23"/>
      <c r="D48" s="23"/>
      <c r="E48" s="23"/>
      <c r="G48" s="23"/>
      <c r="I48" s="23"/>
      <c r="J48" s="23"/>
      <c r="K48" s="23"/>
      <c r="L48" s="23"/>
      <c r="M48" s="23"/>
      <c r="O48" s="23"/>
      <c r="P48" s="23"/>
      <c r="R48" s="23"/>
      <c r="S48" s="23"/>
      <c r="T48" s="23"/>
    </row>
    <row r="49" ht="15.75" customHeight="1">
      <c r="A49" s="23"/>
      <c r="B49" s="23"/>
      <c r="C49" s="23"/>
      <c r="D49" s="23"/>
      <c r="E49" s="23"/>
      <c r="G49" s="23"/>
      <c r="I49" s="23"/>
      <c r="J49" s="23"/>
      <c r="K49" s="23"/>
      <c r="L49" s="23"/>
      <c r="M49" s="23"/>
      <c r="O49" s="23"/>
      <c r="P49" s="23"/>
      <c r="R49" s="23"/>
      <c r="S49" s="23"/>
      <c r="T49" s="23"/>
    </row>
    <row r="50" ht="15.75" customHeight="1">
      <c r="A50" s="23"/>
      <c r="B50" s="23"/>
      <c r="C50" s="23"/>
      <c r="D50" s="23"/>
      <c r="E50" s="23"/>
      <c r="G50" s="23"/>
      <c r="I50" s="23"/>
      <c r="J50" s="23"/>
      <c r="K50" s="23"/>
      <c r="L50" s="23"/>
      <c r="M50" s="23"/>
      <c r="O50" s="23"/>
      <c r="P50" s="23"/>
      <c r="R50" s="23"/>
      <c r="S50" s="23"/>
      <c r="T50" s="23"/>
    </row>
    <row r="51" ht="15.75" customHeight="1">
      <c r="A51" s="23"/>
      <c r="B51" s="23"/>
      <c r="C51" s="23"/>
      <c r="D51" s="23"/>
      <c r="E51" s="23"/>
      <c r="G51" s="23"/>
      <c r="I51" s="23"/>
      <c r="J51" s="23"/>
      <c r="K51" s="23"/>
      <c r="L51" s="23"/>
      <c r="M51" s="23"/>
      <c r="O51" s="23"/>
      <c r="P51" s="23"/>
      <c r="R51" s="23"/>
      <c r="S51" s="23"/>
      <c r="T51" s="23"/>
    </row>
    <row r="52" ht="15.75" customHeight="1">
      <c r="A52" s="23"/>
      <c r="B52" s="23"/>
      <c r="C52" s="23"/>
      <c r="D52" s="23"/>
      <c r="E52" s="23"/>
      <c r="G52" s="23"/>
      <c r="I52" s="23"/>
      <c r="J52" s="23"/>
      <c r="K52" s="23"/>
      <c r="L52" s="23"/>
      <c r="M52" s="23"/>
      <c r="O52" s="23"/>
      <c r="P52" s="23"/>
      <c r="R52" s="23"/>
      <c r="S52" s="23"/>
      <c r="T52" s="23"/>
    </row>
    <row r="53" ht="15.75" customHeight="1">
      <c r="A53" s="23"/>
      <c r="B53" s="23"/>
      <c r="C53" s="23"/>
      <c r="D53" s="23"/>
      <c r="E53" s="23"/>
      <c r="G53" s="23"/>
      <c r="I53" s="23"/>
      <c r="J53" s="23"/>
      <c r="K53" s="23"/>
      <c r="L53" s="23"/>
      <c r="M53" s="23"/>
      <c r="O53" s="23"/>
      <c r="P53" s="23"/>
      <c r="R53" s="23"/>
      <c r="S53" s="23"/>
      <c r="T53" s="23"/>
    </row>
    <row r="54" ht="15.75" customHeight="1">
      <c r="A54" s="23"/>
      <c r="B54" s="23"/>
      <c r="C54" s="23"/>
      <c r="D54" s="23"/>
      <c r="E54" s="23"/>
      <c r="G54" s="23"/>
      <c r="I54" s="23"/>
      <c r="J54" s="23"/>
      <c r="K54" s="23"/>
      <c r="L54" s="23"/>
      <c r="M54" s="23"/>
      <c r="O54" s="23"/>
      <c r="P54" s="23"/>
      <c r="R54" s="23"/>
      <c r="S54" s="23"/>
      <c r="T54" s="23"/>
    </row>
    <row r="55" ht="15.75" customHeight="1">
      <c r="A55" s="23"/>
      <c r="B55" s="23"/>
      <c r="C55" s="23"/>
      <c r="D55" s="23"/>
      <c r="E55" s="23"/>
      <c r="G55" s="23"/>
      <c r="I55" s="23"/>
      <c r="J55" s="23"/>
      <c r="K55" s="23"/>
      <c r="L55" s="23"/>
      <c r="M55" s="23"/>
      <c r="O55" s="23"/>
      <c r="P55" s="23"/>
      <c r="R55" s="23"/>
      <c r="S55" s="23"/>
      <c r="T55" s="23"/>
    </row>
    <row r="56" ht="15.75" customHeight="1">
      <c r="A56" s="23"/>
      <c r="B56" s="23"/>
      <c r="C56" s="23"/>
      <c r="D56" s="23"/>
      <c r="E56" s="23"/>
      <c r="G56" s="23"/>
      <c r="I56" s="23"/>
      <c r="J56" s="23"/>
      <c r="K56" s="23"/>
      <c r="L56" s="23"/>
      <c r="M56" s="23"/>
      <c r="O56" s="23"/>
      <c r="P56" s="23"/>
      <c r="R56" s="23"/>
      <c r="S56" s="23"/>
      <c r="T56" s="23"/>
    </row>
    <row r="57" ht="15.75" customHeight="1">
      <c r="A57" s="23"/>
      <c r="B57" s="23"/>
      <c r="C57" s="23"/>
      <c r="D57" s="23"/>
      <c r="E57" s="23"/>
      <c r="G57" s="23"/>
      <c r="I57" s="23"/>
      <c r="J57" s="23"/>
      <c r="K57" s="23"/>
      <c r="L57" s="23"/>
      <c r="M57" s="23"/>
      <c r="O57" s="23"/>
      <c r="P57" s="23"/>
      <c r="R57" s="23"/>
      <c r="S57" s="23"/>
      <c r="T57" s="23"/>
    </row>
    <row r="58" ht="15.75" customHeight="1">
      <c r="A58" s="23"/>
      <c r="B58" s="23"/>
      <c r="C58" s="23"/>
      <c r="D58" s="23"/>
      <c r="E58" s="23"/>
      <c r="G58" s="23"/>
      <c r="I58" s="23"/>
      <c r="J58" s="23"/>
      <c r="K58" s="23"/>
      <c r="L58" s="23"/>
      <c r="M58" s="23"/>
      <c r="O58" s="23"/>
      <c r="P58" s="23"/>
      <c r="R58" s="23"/>
      <c r="S58" s="23"/>
      <c r="T58" s="23"/>
    </row>
    <row r="59" ht="15.75" customHeight="1">
      <c r="A59" s="23"/>
      <c r="B59" s="23"/>
      <c r="C59" s="23"/>
      <c r="D59" s="23"/>
      <c r="E59" s="23"/>
      <c r="G59" s="23"/>
      <c r="I59" s="23"/>
      <c r="J59" s="23"/>
      <c r="K59" s="23"/>
      <c r="L59" s="23"/>
      <c r="M59" s="23"/>
      <c r="O59" s="23"/>
      <c r="P59" s="23"/>
      <c r="R59" s="23"/>
      <c r="S59" s="23"/>
      <c r="T59" s="23"/>
    </row>
    <row r="60" ht="15.75" customHeight="1">
      <c r="A60" s="23"/>
      <c r="B60" s="23"/>
      <c r="C60" s="23"/>
      <c r="D60" s="23"/>
      <c r="E60" s="23"/>
      <c r="G60" s="23"/>
      <c r="I60" s="23"/>
      <c r="J60" s="23"/>
      <c r="K60" s="23"/>
      <c r="L60" s="23"/>
      <c r="M60" s="23"/>
      <c r="O60" s="23"/>
      <c r="P60" s="23"/>
      <c r="R60" s="23"/>
      <c r="S60" s="23"/>
      <c r="T60" s="23"/>
    </row>
    <row r="61" ht="15.75" customHeight="1">
      <c r="A61" s="23"/>
      <c r="B61" s="23"/>
      <c r="C61" s="23"/>
      <c r="D61" s="23"/>
      <c r="E61" s="23"/>
      <c r="G61" s="23"/>
      <c r="I61" s="23"/>
      <c r="J61" s="23"/>
      <c r="K61" s="23"/>
      <c r="L61" s="23"/>
      <c r="M61" s="23"/>
      <c r="O61" s="23"/>
      <c r="P61" s="23"/>
      <c r="R61" s="23"/>
      <c r="S61" s="23"/>
      <c r="T61" s="23"/>
    </row>
    <row r="62" ht="15.75" customHeight="1">
      <c r="A62" s="23"/>
      <c r="B62" s="23"/>
      <c r="C62" s="23"/>
      <c r="D62" s="23"/>
      <c r="E62" s="23"/>
      <c r="G62" s="23"/>
      <c r="I62" s="23"/>
      <c r="J62" s="23"/>
      <c r="K62" s="23"/>
      <c r="L62" s="23"/>
      <c r="M62" s="23"/>
      <c r="O62" s="23"/>
      <c r="P62" s="23"/>
      <c r="R62" s="23"/>
      <c r="S62" s="23"/>
      <c r="T62" s="23"/>
    </row>
    <row r="63" ht="15.75" customHeight="1">
      <c r="A63" s="23"/>
      <c r="B63" s="23"/>
      <c r="C63" s="23"/>
      <c r="D63" s="23"/>
      <c r="E63" s="23"/>
      <c r="G63" s="23"/>
      <c r="I63" s="23"/>
      <c r="J63" s="23"/>
      <c r="K63" s="23"/>
      <c r="L63" s="23"/>
      <c r="M63" s="23"/>
      <c r="O63" s="23"/>
      <c r="P63" s="23"/>
      <c r="R63" s="23"/>
      <c r="S63" s="23"/>
      <c r="T63" s="23"/>
    </row>
    <row r="64" ht="15.75" customHeight="1">
      <c r="A64" s="23"/>
      <c r="B64" s="23"/>
      <c r="C64" s="23"/>
      <c r="D64" s="23"/>
      <c r="E64" s="23"/>
      <c r="G64" s="23"/>
      <c r="I64" s="23"/>
      <c r="J64" s="23"/>
      <c r="K64" s="23"/>
      <c r="L64" s="23"/>
      <c r="M64" s="23"/>
      <c r="O64" s="23"/>
      <c r="P64" s="23"/>
      <c r="R64" s="23"/>
      <c r="S64" s="23"/>
      <c r="T64" s="23"/>
    </row>
    <row r="65" ht="15.75" customHeight="1">
      <c r="A65" s="23"/>
      <c r="B65" s="23"/>
      <c r="C65" s="23"/>
      <c r="D65" s="23"/>
      <c r="E65" s="23"/>
      <c r="G65" s="23"/>
      <c r="I65" s="23"/>
      <c r="J65" s="23"/>
      <c r="K65" s="23"/>
      <c r="L65" s="23"/>
      <c r="M65" s="23"/>
      <c r="O65" s="23"/>
      <c r="P65" s="23"/>
      <c r="R65" s="23"/>
      <c r="S65" s="23"/>
      <c r="T65" s="23"/>
    </row>
    <row r="66" ht="15.75" customHeight="1">
      <c r="A66" s="23"/>
      <c r="B66" s="23"/>
      <c r="C66" s="23"/>
      <c r="D66" s="23"/>
      <c r="E66" s="23"/>
      <c r="G66" s="23"/>
      <c r="I66" s="23"/>
      <c r="J66" s="23"/>
      <c r="K66" s="23"/>
      <c r="L66" s="23"/>
      <c r="M66" s="23"/>
      <c r="O66" s="23"/>
      <c r="P66" s="23"/>
      <c r="R66" s="23"/>
      <c r="S66" s="23"/>
      <c r="T66" s="23"/>
    </row>
    <row r="67" ht="15.75" customHeight="1">
      <c r="A67" s="23"/>
      <c r="B67" s="23"/>
      <c r="C67" s="23"/>
      <c r="D67" s="23"/>
      <c r="E67" s="23"/>
      <c r="G67" s="23"/>
      <c r="I67" s="23"/>
      <c r="J67" s="23"/>
      <c r="K67" s="23"/>
      <c r="L67" s="23"/>
      <c r="M67" s="23"/>
      <c r="O67" s="23"/>
      <c r="P67" s="23"/>
      <c r="R67" s="23"/>
      <c r="S67" s="23"/>
      <c r="T67" s="23"/>
    </row>
    <row r="68" ht="15.75" customHeight="1">
      <c r="A68" s="23"/>
      <c r="B68" s="23"/>
      <c r="C68" s="23"/>
      <c r="D68" s="23"/>
      <c r="E68" s="23"/>
      <c r="G68" s="23"/>
      <c r="I68" s="23"/>
      <c r="J68" s="23"/>
      <c r="K68" s="23"/>
      <c r="L68" s="23"/>
      <c r="M68" s="23"/>
      <c r="O68" s="23"/>
      <c r="P68" s="23"/>
      <c r="R68" s="23"/>
      <c r="S68" s="23"/>
      <c r="T68" s="23"/>
    </row>
    <row r="69" ht="15.75" customHeight="1">
      <c r="A69" s="23"/>
      <c r="B69" s="23"/>
      <c r="C69" s="23"/>
      <c r="D69" s="23"/>
      <c r="E69" s="23"/>
      <c r="G69" s="23"/>
      <c r="I69" s="23"/>
      <c r="J69" s="23"/>
      <c r="K69" s="23"/>
      <c r="L69" s="23"/>
      <c r="M69" s="23"/>
      <c r="O69" s="23"/>
      <c r="P69" s="23"/>
      <c r="R69" s="23"/>
      <c r="S69" s="23"/>
      <c r="T69" s="23"/>
    </row>
    <row r="70" ht="15.75" customHeight="1">
      <c r="A70" s="23"/>
      <c r="B70" s="23"/>
      <c r="C70" s="23"/>
      <c r="D70" s="23"/>
      <c r="E70" s="23"/>
      <c r="G70" s="23"/>
      <c r="I70" s="23"/>
      <c r="J70" s="23"/>
      <c r="K70" s="23"/>
      <c r="L70" s="23"/>
      <c r="M70" s="23"/>
      <c r="O70" s="23"/>
      <c r="P70" s="23"/>
      <c r="R70" s="23"/>
      <c r="S70" s="23"/>
      <c r="T70" s="23"/>
    </row>
    <row r="71" ht="15.75" customHeight="1">
      <c r="A71" s="23"/>
      <c r="B71" s="23"/>
      <c r="C71" s="23"/>
      <c r="D71" s="23"/>
      <c r="E71" s="23"/>
      <c r="G71" s="23"/>
      <c r="I71" s="23"/>
      <c r="J71" s="23"/>
      <c r="K71" s="23"/>
      <c r="L71" s="23"/>
      <c r="M71" s="23"/>
      <c r="O71" s="23"/>
      <c r="P71" s="23"/>
      <c r="R71" s="23"/>
      <c r="S71" s="23"/>
      <c r="T71" s="23"/>
    </row>
    <row r="72" ht="15.75" customHeight="1">
      <c r="A72" s="23"/>
      <c r="B72" s="23"/>
      <c r="C72" s="23"/>
      <c r="D72" s="23"/>
      <c r="E72" s="23"/>
      <c r="G72" s="23"/>
      <c r="I72" s="23"/>
      <c r="J72" s="23"/>
      <c r="K72" s="23"/>
      <c r="L72" s="23"/>
      <c r="M72" s="23"/>
      <c r="O72" s="23"/>
      <c r="P72" s="23"/>
      <c r="R72" s="23"/>
      <c r="S72" s="23"/>
      <c r="T72" s="23"/>
    </row>
    <row r="73" ht="15.75" customHeight="1">
      <c r="A73" s="23"/>
      <c r="B73" s="23"/>
      <c r="C73" s="23"/>
      <c r="D73" s="23"/>
      <c r="E73" s="23"/>
      <c r="G73" s="23"/>
      <c r="I73" s="23"/>
      <c r="J73" s="23"/>
      <c r="K73" s="23"/>
      <c r="L73" s="23"/>
      <c r="M73" s="23"/>
      <c r="O73" s="23"/>
      <c r="P73" s="23"/>
      <c r="R73" s="23"/>
      <c r="S73" s="23"/>
      <c r="T73" s="23"/>
    </row>
    <row r="74" ht="15.75" customHeight="1">
      <c r="A74" s="23"/>
      <c r="B74" s="23"/>
      <c r="C74" s="23"/>
      <c r="D74" s="23"/>
      <c r="E74" s="23"/>
      <c r="G74" s="23"/>
      <c r="I74" s="23"/>
      <c r="J74" s="23"/>
      <c r="K74" s="23"/>
      <c r="L74" s="23"/>
      <c r="M74" s="23"/>
      <c r="O74" s="23"/>
      <c r="P74" s="23"/>
      <c r="R74" s="23"/>
      <c r="S74" s="23"/>
      <c r="T74" s="23"/>
    </row>
    <row r="75" ht="15.75" customHeight="1">
      <c r="A75" s="23"/>
      <c r="B75" s="23"/>
      <c r="C75" s="23"/>
      <c r="D75" s="23"/>
      <c r="E75" s="23"/>
      <c r="G75" s="23"/>
      <c r="I75" s="23"/>
      <c r="J75" s="23"/>
      <c r="K75" s="23"/>
      <c r="L75" s="23"/>
      <c r="M75" s="23"/>
      <c r="O75" s="23"/>
      <c r="P75" s="23"/>
      <c r="R75" s="23"/>
      <c r="S75" s="23"/>
      <c r="T75" s="23"/>
    </row>
    <row r="76" ht="15.75" customHeight="1">
      <c r="A76" s="23"/>
      <c r="B76" s="23"/>
      <c r="C76" s="23"/>
      <c r="D76" s="23"/>
      <c r="E76" s="23"/>
      <c r="G76" s="23"/>
      <c r="I76" s="23"/>
      <c r="J76" s="23"/>
      <c r="K76" s="23"/>
      <c r="L76" s="23"/>
      <c r="M76" s="23"/>
      <c r="O76" s="23"/>
      <c r="P76" s="23"/>
      <c r="R76" s="23"/>
      <c r="S76" s="23"/>
      <c r="T76" s="23"/>
    </row>
    <row r="77" ht="15.75" customHeight="1">
      <c r="A77" s="23"/>
      <c r="B77" s="23"/>
      <c r="C77" s="23"/>
      <c r="D77" s="23"/>
      <c r="E77" s="23"/>
      <c r="G77" s="23"/>
      <c r="I77" s="23"/>
      <c r="J77" s="23"/>
      <c r="K77" s="23"/>
      <c r="L77" s="23"/>
      <c r="M77" s="23"/>
      <c r="O77" s="23"/>
      <c r="P77" s="23"/>
      <c r="R77" s="23"/>
      <c r="S77" s="23"/>
      <c r="T77" s="23"/>
    </row>
    <row r="78" ht="15.75" customHeight="1">
      <c r="A78" s="23"/>
      <c r="B78" s="23"/>
      <c r="C78" s="23"/>
      <c r="D78" s="23"/>
      <c r="E78" s="23"/>
      <c r="G78" s="23"/>
      <c r="I78" s="23"/>
      <c r="J78" s="23"/>
      <c r="K78" s="23"/>
      <c r="L78" s="23"/>
      <c r="M78" s="23"/>
      <c r="O78" s="23"/>
      <c r="P78" s="23"/>
      <c r="R78" s="23"/>
      <c r="S78" s="23"/>
      <c r="T78" s="23"/>
    </row>
    <row r="79" ht="15.75" customHeight="1">
      <c r="A79" s="23"/>
      <c r="B79" s="23"/>
      <c r="C79" s="23"/>
      <c r="D79" s="23"/>
      <c r="E79" s="23"/>
      <c r="G79" s="23"/>
      <c r="I79" s="23"/>
      <c r="J79" s="23"/>
      <c r="K79" s="23"/>
      <c r="L79" s="23"/>
      <c r="M79" s="23"/>
      <c r="O79" s="23"/>
      <c r="P79" s="23"/>
      <c r="R79" s="23"/>
      <c r="S79" s="23"/>
      <c r="T79" s="23"/>
    </row>
    <row r="80" ht="15.75" customHeight="1">
      <c r="A80" s="23"/>
      <c r="B80" s="23"/>
      <c r="C80" s="23"/>
      <c r="D80" s="23"/>
      <c r="E80" s="23"/>
      <c r="G80" s="23"/>
      <c r="I80" s="23"/>
      <c r="J80" s="23"/>
      <c r="K80" s="23"/>
      <c r="L80" s="23"/>
      <c r="M80" s="23"/>
      <c r="O80" s="23"/>
      <c r="P80" s="23"/>
      <c r="R80" s="23"/>
      <c r="S80" s="23"/>
      <c r="T80" s="23"/>
    </row>
    <row r="81" ht="15.75" customHeight="1">
      <c r="A81" s="23"/>
      <c r="B81" s="23"/>
      <c r="C81" s="23"/>
      <c r="D81" s="23"/>
      <c r="E81" s="23"/>
      <c r="G81" s="23"/>
      <c r="I81" s="23"/>
      <c r="J81" s="23"/>
      <c r="K81" s="23"/>
      <c r="L81" s="23"/>
      <c r="M81" s="23"/>
      <c r="O81" s="23"/>
      <c r="P81" s="23"/>
      <c r="R81" s="23"/>
      <c r="S81" s="23"/>
      <c r="T81" s="23"/>
    </row>
    <row r="82" ht="15.75" customHeight="1">
      <c r="A82" s="23"/>
      <c r="B82" s="23"/>
      <c r="C82" s="23"/>
      <c r="D82" s="23"/>
      <c r="E82" s="23"/>
      <c r="G82" s="23"/>
      <c r="I82" s="23"/>
      <c r="J82" s="23"/>
      <c r="K82" s="23"/>
      <c r="L82" s="23"/>
      <c r="M82" s="23"/>
      <c r="O82" s="23"/>
      <c r="P82" s="23"/>
      <c r="R82" s="23"/>
      <c r="S82" s="23"/>
      <c r="T82" s="23"/>
    </row>
    <row r="83" ht="15.75" customHeight="1">
      <c r="A83" s="23"/>
      <c r="B83" s="23"/>
      <c r="C83" s="23"/>
      <c r="D83" s="23"/>
      <c r="E83" s="23"/>
      <c r="G83" s="23"/>
      <c r="I83" s="23"/>
      <c r="J83" s="23"/>
      <c r="K83" s="23"/>
      <c r="L83" s="23"/>
      <c r="M83" s="23"/>
      <c r="O83" s="23"/>
      <c r="P83" s="23"/>
      <c r="R83" s="23"/>
      <c r="S83" s="23"/>
      <c r="T83" s="23"/>
    </row>
    <row r="84" ht="15.75" customHeight="1">
      <c r="A84" s="23"/>
      <c r="B84" s="23"/>
      <c r="C84" s="23"/>
      <c r="D84" s="23"/>
      <c r="E84" s="23"/>
      <c r="G84" s="23"/>
      <c r="I84" s="23"/>
      <c r="J84" s="23"/>
      <c r="K84" s="23"/>
      <c r="L84" s="23"/>
      <c r="M84" s="23"/>
      <c r="O84" s="23"/>
      <c r="P84" s="23"/>
      <c r="R84" s="23"/>
      <c r="S84" s="23"/>
      <c r="T84" s="23"/>
    </row>
    <row r="85" ht="15.75" customHeight="1">
      <c r="A85" s="23"/>
      <c r="B85" s="23"/>
      <c r="C85" s="23"/>
      <c r="D85" s="23"/>
      <c r="E85" s="23"/>
      <c r="G85" s="23"/>
      <c r="I85" s="23"/>
      <c r="J85" s="23"/>
      <c r="K85" s="23"/>
      <c r="L85" s="23"/>
      <c r="M85" s="23"/>
      <c r="O85" s="23"/>
      <c r="P85" s="23"/>
      <c r="R85" s="23"/>
      <c r="S85" s="23"/>
      <c r="T85" s="23"/>
    </row>
    <row r="86" ht="15.75" customHeight="1">
      <c r="A86" s="23"/>
      <c r="B86" s="23"/>
      <c r="C86" s="23"/>
      <c r="D86" s="23"/>
      <c r="E86" s="23"/>
      <c r="G86" s="23"/>
      <c r="I86" s="23"/>
      <c r="J86" s="23"/>
      <c r="K86" s="23"/>
      <c r="L86" s="23"/>
      <c r="M86" s="23"/>
      <c r="O86" s="23"/>
      <c r="P86" s="23"/>
      <c r="R86" s="23"/>
      <c r="S86" s="23"/>
      <c r="T86" s="23"/>
    </row>
    <row r="87" ht="15.75" customHeight="1">
      <c r="A87" s="23"/>
      <c r="B87" s="23"/>
      <c r="C87" s="23"/>
      <c r="D87" s="23"/>
      <c r="E87" s="23"/>
      <c r="G87" s="23"/>
      <c r="I87" s="23"/>
      <c r="J87" s="23"/>
      <c r="K87" s="23"/>
      <c r="L87" s="23"/>
      <c r="M87" s="23"/>
      <c r="O87" s="23"/>
      <c r="P87" s="23"/>
      <c r="R87" s="23"/>
      <c r="S87" s="23"/>
      <c r="T87" s="23"/>
    </row>
    <row r="88" ht="15.75" customHeight="1">
      <c r="A88" s="23"/>
      <c r="B88" s="23"/>
      <c r="C88" s="23"/>
      <c r="D88" s="23"/>
      <c r="E88" s="23"/>
      <c r="G88" s="23"/>
      <c r="I88" s="23"/>
      <c r="J88" s="23"/>
      <c r="K88" s="23"/>
      <c r="L88" s="23"/>
      <c r="M88" s="23"/>
      <c r="O88" s="23"/>
      <c r="P88" s="23"/>
      <c r="R88" s="23"/>
      <c r="S88" s="23"/>
      <c r="T88" s="23"/>
    </row>
    <row r="89" ht="15.75" customHeight="1">
      <c r="A89" s="23"/>
      <c r="B89" s="23"/>
      <c r="C89" s="23"/>
      <c r="D89" s="23"/>
      <c r="E89" s="23"/>
      <c r="G89" s="23"/>
      <c r="I89" s="23"/>
      <c r="J89" s="23"/>
      <c r="K89" s="23"/>
      <c r="L89" s="23"/>
      <c r="M89" s="23"/>
      <c r="O89" s="23"/>
      <c r="P89" s="23"/>
      <c r="R89" s="23"/>
      <c r="S89" s="23"/>
      <c r="T89" s="23"/>
    </row>
    <row r="90" ht="15.75" customHeight="1">
      <c r="A90" s="23"/>
      <c r="B90" s="23"/>
      <c r="C90" s="23"/>
      <c r="D90" s="23"/>
      <c r="E90" s="23"/>
      <c r="G90" s="23"/>
      <c r="I90" s="23"/>
      <c r="J90" s="23"/>
      <c r="K90" s="23"/>
      <c r="L90" s="23"/>
      <c r="M90" s="23"/>
      <c r="O90" s="23"/>
      <c r="P90" s="23"/>
      <c r="R90" s="23"/>
      <c r="S90" s="23"/>
      <c r="T90" s="23"/>
    </row>
    <row r="91" ht="15.75" customHeight="1">
      <c r="A91" s="23"/>
      <c r="B91" s="23"/>
      <c r="C91" s="23"/>
      <c r="D91" s="23"/>
      <c r="E91" s="23"/>
      <c r="G91" s="23"/>
      <c r="I91" s="23"/>
      <c r="J91" s="23"/>
      <c r="K91" s="23"/>
      <c r="L91" s="23"/>
      <c r="M91" s="23"/>
      <c r="O91" s="23"/>
      <c r="P91" s="23"/>
      <c r="R91" s="23"/>
      <c r="S91" s="23"/>
      <c r="T91" s="23"/>
    </row>
    <row r="92" ht="15.75" customHeight="1">
      <c r="A92" s="23"/>
      <c r="B92" s="23"/>
      <c r="C92" s="23"/>
      <c r="D92" s="23"/>
      <c r="E92" s="23"/>
      <c r="G92" s="23"/>
      <c r="I92" s="23"/>
      <c r="J92" s="23"/>
      <c r="K92" s="23"/>
      <c r="L92" s="23"/>
      <c r="M92" s="23"/>
      <c r="O92" s="23"/>
      <c r="P92" s="23"/>
      <c r="R92" s="23"/>
      <c r="S92" s="23"/>
      <c r="T92" s="23"/>
    </row>
    <row r="93" ht="15.75" customHeight="1">
      <c r="A93" s="23"/>
      <c r="B93" s="23"/>
      <c r="C93" s="23"/>
      <c r="D93" s="23"/>
      <c r="E93" s="23"/>
      <c r="G93" s="23"/>
      <c r="I93" s="23"/>
      <c r="J93" s="23"/>
      <c r="K93" s="23"/>
      <c r="L93" s="23"/>
      <c r="M93" s="23"/>
      <c r="O93" s="23"/>
      <c r="P93" s="23"/>
      <c r="R93" s="23"/>
      <c r="S93" s="23"/>
      <c r="T93" s="23"/>
    </row>
    <row r="94" ht="15.75" customHeight="1">
      <c r="A94" s="23"/>
      <c r="B94" s="23"/>
      <c r="C94" s="23"/>
      <c r="D94" s="23"/>
      <c r="E94" s="23"/>
      <c r="G94" s="23"/>
      <c r="I94" s="23"/>
      <c r="J94" s="23"/>
      <c r="K94" s="23"/>
      <c r="L94" s="23"/>
      <c r="M94" s="23"/>
      <c r="O94" s="23"/>
      <c r="P94" s="23"/>
      <c r="R94" s="23"/>
      <c r="S94" s="23"/>
      <c r="T94" s="23"/>
    </row>
    <row r="95" ht="15.75" customHeight="1">
      <c r="A95" s="23"/>
      <c r="B95" s="23"/>
      <c r="C95" s="23"/>
      <c r="D95" s="23"/>
      <c r="E95" s="23"/>
      <c r="G95" s="23"/>
      <c r="I95" s="23"/>
      <c r="J95" s="23"/>
      <c r="K95" s="23"/>
      <c r="L95" s="23"/>
      <c r="M95" s="23"/>
      <c r="O95" s="23"/>
      <c r="P95" s="23"/>
      <c r="R95" s="23"/>
      <c r="S95" s="23"/>
      <c r="T95" s="23"/>
    </row>
    <row r="96" ht="15.75" customHeight="1">
      <c r="A96" s="23"/>
      <c r="B96" s="23"/>
      <c r="C96" s="23"/>
      <c r="D96" s="23"/>
      <c r="E96" s="23"/>
      <c r="G96" s="23"/>
      <c r="I96" s="23"/>
      <c r="J96" s="23"/>
      <c r="K96" s="23"/>
      <c r="L96" s="23"/>
      <c r="M96" s="23"/>
      <c r="O96" s="23"/>
      <c r="P96" s="23"/>
      <c r="R96" s="23"/>
      <c r="S96" s="23"/>
      <c r="T96" s="23"/>
    </row>
    <row r="97" ht="15.75" customHeight="1">
      <c r="A97" s="23"/>
      <c r="B97" s="23"/>
      <c r="C97" s="23"/>
      <c r="D97" s="23"/>
      <c r="E97" s="23"/>
      <c r="G97" s="23"/>
      <c r="I97" s="23"/>
      <c r="J97" s="23"/>
      <c r="K97" s="23"/>
      <c r="L97" s="23"/>
      <c r="M97" s="23"/>
      <c r="O97" s="23"/>
      <c r="P97" s="23"/>
      <c r="R97" s="23"/>
      <c r="S97" s="23"/>
      <c r="T97" s="23"/>
    </row>
    <row r="98" ht="15.75" customHeight="1">
      <c r="A98" s="23"/>
      <c r="B98" s="23"/>
      <c r="C98" s="23"/>
      <c r="D98" s="23"/>
      <c r="E98" s="23"/>
      <c r="G98" s="23"/>
      <c r="I98" s="23"/>
      <c r="J98" s="23"/>
      <c r="K98" s="23"/>
      <c r="L98" s="23"/>
      <c r="M98" s="23"/>
      <c r="O98" s="23"/>
      <c r="P98" s="23"/>
      <c r="R98" s="23"/>
      <c r="S98" s="23"/>
      <c r="T98" s="23"/>
    </row>
    <row r="99" ht="15.75" customHeight="1">
      <c r="A99" s="23"/>
      <c r="B99" s="23"/>
      <c r="C99" s="23"/>
      <c r="D99" s="23"/>
      <c r="E99" s="23"/>
      <c r="G99" s="23"/>
      <c r="I99" s="23"/>
      <c r="J99" s="23"/>
      <c r="K99" s="23"/>
      <c r="L99" s="23"/>
      <c r="M99" s="23"/>
      <c r="O99" s="23"/>
      <c r="P99" s="23"/>
      <c r="R99" s="23"/>
      <c r="S99" s="23"/>
      <c r="T99" s="23"/>
    </row>
    <row r="100" ht="15.75" customHeight="1">
      <c r="A100" s="23"/>
      <c r="B100" s="23"/>
      <c r="C100" s="23"/>
      <c r="D100" s="23"/>
      <c r="E100" s="23"/>
      <c r="G100" s="23"/>
      <c r="I100" s="23"/>
      <c r="J100" s="23"/>
      <c r="K100" s="23"/>
      <c r="L100" s="23"/>
      <c r="M100" s="23"/>
      <c r="O100" s="23"/>
      <c r="P100" s="23"/>
      <c r="R100" s="23"/>
      <c r="S100" s="23"/>
      <c r="T100" s="23"/>
    </row>
    <row r="101" ht="15.75" customHeight="1">
      <c r="A101" s="23"/>
      <c r="B101" s="23"/>
      <c r="C101" s="23"/>
      <c r="D101" s="23"/>
      <c r="E101" s="23"/>
      <c r="G101" s="23"/>
      <c r="I101" s="23"/>
      <c r="J101" s="23"/>
      <c r="K101" s="23"/>
      <c r="L101" s="23"/>
      <c r="M101" s="23"/>
      <c r="O101" s="23"/>
      <c r="P101" s="23"/>
      <c r="R101" s="23"/>
      <c r="S101" s="23"/>
      <c r="T101" s="23"/>
    </row>
    <row r="102" ht="15.75" customHeight="1">
      <c r="A102" s="23"/>
      <c r="B102" s="23"/>
      <c r="C102" s="23"/>
      <c r="D102" s="23"/>
      <c r="E102" s="23"/>
      <c r="G102" s="23"/>
      <c r="I102" s="23"/>
      <c r="J102" s="23"/>
      <c r="K102" s="23"/>
      <c r="L102" s="23"/>
      <c r="M102" s="23"/>
      <c r="O102" s="23"/>
      <c r="P102" s="23"/>
      <c r="R102" s="23"/>
      <c r="S102" s="23"/>
      <c r="T102" s="23"/>
    </row>
    <row r="103" ht="15.75" customHeight="1">
      <c r="A103" s="23"/>
      <c r="B103" s="23"/>
      <c r="C103" s="23"/>
      <c r="D103" s="23"/>
      <c r="E103" s="23"/>
      <c r="G103" s="23"/>
      <c r="I103" s="23"/>
      <c r="J103" s="23"/>
      <c r="K103" s="23"/>
      <c r="L103" s="23"/>
      <c r="M103" s="23"/>
      <c r="O103" s="23"/>
      <c r="P103" s="23"/>
      <c r="R103" s="23"/>
      <c r="S103" s="23"/>
      <c r="T103" s="23"/>
    </row>
    <row r="104" ht="15.75" customHeight="1">
      <c r="A104" s="23"/>
      <c r="B104" s="23"/>
      <c r="C104" s="23"/>
      <c r="D104" s="23"/>
      <c r="E104" s="23"/>
      <c r="G104" s="23"/>
      <c r="I104" s="23"/>
      <c r="J104" s="23"/>
      <c r="K104" s="23"/>
      <c r="L104" s="23"/>
      <c r="M104" s="23"/>
      <c r="O104" s="23"/>
      <c r="P104" s="23"/>
      <c r="R104" s="23"/>
      <c r="S104" s="23"/>
      <c r="T104" s="23"/>
    </row>
    <row r="105" ht="15.75" customHeight="1">
      <c r="A105" s="23"/>
      <c r="B105" s="23"/>
      <c r="C105" s="23"/>
      <c r="D105" s="23"/>
      <c r="E105" s="23"/>
      <c r="G105" s="23"/>
      <c r="I105" s="23"/>
      <c r="J105" s="23"/>
      <c r="K105" s="23"/>
      <c r="L105" s="23"/>
      <c r="M105" s="23"/>
      <c r="O105" s="23"/>
      <c r="P105" s="23"/>
      <c r="R105" s="23"/>
      <c r="S105" s="23"/>
      <c r="T105" s="23"/>
    </row>
    <row r="106" ht="15.75" customHeight="1">
      <c r="A106" s="23"/>
      <c r="B106" s="23"/>
      <c r="C106" s="23"/>
      <c r="D106" s="23"/>
      <c r="E106" s="23"/>
      <c r="G106" s="23"/>
      <c r="I106" s="23"/>
      <c r="J106" s="23"/>
      <c r="K106" s="23"/>
      <c r="L106" s="23"/>
      <c r="M106" s="23"/>
      <c r="O106" s="23"/>
      <c r="P106" s="23"/>
      <c r="R106" s="23"/>
      <c r="S106" s="23"/>
      <c r="T106" s="23"/>
    </row>
    <row r="107" ht="15.75" customHeight="1">
      <c r="A107" s="23"/>
      <c r="B107" s="23"/>
      <c r="C107" s="23"/>
      <c r="D107" s="23"/>
      <c r="E107" s="23"/>
      <c r="G107" s="23"/>
      <c r="I107" s="23"/>
      <c r="J107" s="23"/>
      <c r="K107" s="23"/>
      <c r="L107" s="23"/>
      <c r="M107" s="23"/>
      <c r="O107" s="23"/>
      <c r="P107" s="23"/>
      <c r="R107" s="23"/>
      <c r="S107" s="23"/>
      <c r="T107" s="23"/>
    </row>
    <row r="108" ht="15.75" customHeight="1">
      <c r="A108" s="23"/>
      <c r="B108" s="23"/>
      <c r="C108" s="23"/>
      <c r="D108" s="23"/>
      <c r="E108" s="23"/>
      <c r="G108" s="23"/>
      <c r="I108" s="23"/>
      <c r="J108" s="23"/>
      <c r="K108" s="23"/>
      <c r="L108" s="23"/>
      <c r="M108" s="23"/>
      <c r="O108" s="23"/>
      <c r="P108" s="23"/>
      <c r="R108" s="23"/>
      <c r="S108" s="23"/>
      <c r="T108" s="23"/>
    </row>
    <row r="109" ht="15.75" customHeight="1">
      <c r="A109" s="23"/>
      <c r="B109" s="23"/>
      <c r="C109" s="23"/>
      <c r="D109" s="23"/>
      <c r="E109" s="23"/>
      <c r="G109" s="23"/>
      <c r="I109" s="23"/>
      <c r="J109" s="23"/>
      <c r="K109" s="23"/>
      <c r="L109" s="23"/>
      <c r="M109" s="23"/>
      <c r="O109" s="23"/>
      <c r="P109" s="23"/>
      <c r="R109" s="23"/>
      <c r="S109" s="23"/>
      <c r="T109" s="23"/>
    </row>
    <row r="110" ht="15.75" customHeight="1">
      <c r="A110" s="23"/>
      <c r="B110" s="23"/>
      <c r="C110" s="23"/>
      <c r="D110" s="23"/>
      <c r="E110" s="23"/>
      <c r="G110" s="23"/>
      <c r="I110" s="23"/>
      <c r="J110" s="23"/>
      <c r="K110" s="23"/>
      <c r="L110" s="23"/>
      <c r="M110" s="23"/>
      <c r="O110" s="23"/>
      <c r="P110" s="23"/>
      <c r="R110" s="23"/>
      <c r="S110" s="23"/>
      <c r="T110" s="23"/>
    </row>
    <row r="111" ht="15.75" customHeight="1">
      <c r="A111" s="23"/>
      <c r="B111" s="23"/>
      <c r="C111" s="23"/>
      <c r="D111" s="23"/>
      <c r="E111" s="23"/>
      <c r="G111" s="23"/>
      <c r="I111" s="23"/>
      <c r="J111" s="23"/>
      <c r="K111" s="23"/>
      <c r="L111" s="23"/>
      <c r="M111" s="23"/>
      <c r="O111" s="23"/>
      <c r="P111" s="23"/>
      <c r="R111" s="23"/>
      <c r="S111" s="23"/>
      <c r="T111" s="23"/>
    </row>
    <row r="112" ht="15.75" customHeight="1">
      <c r="A112" s="23"/>
      <c r="B112" s="23"/>
      <c r="C112" s="23"/>
      <c r="D112" s="23"/>
      <c r="E112" s="23"/>
      <c r="G112" s="23"/>
      <c r="I112" s="23"/>
      <c r="J112" s="23"/>
      <c r="K112" s="23"/>
      <c r="L112" s="23"/>
      <c r="M112" s="23"/>
      <c r="O112" s="23"/>
      <c r="P112" s="23"/>
      <c r="R112" s="23"/>
      <c r="S112" s="23"/>
      <c r="T112" s="23"/>
    </row>
    <row r="113" ht="15.75" customHeight="1">
      <c r="A113" s="23"/>
      <c r="B113" s="23"/>
      <c r="C113" s="23"/>
      <c r="D113" s="23"/>
      <c r="E113" s="23"/>
      <c r="G113" s="23"/>
      <c r="I113" s="23"/>
      <c r="J113" s="23"/>
      <c r="K113" s="23"/>
      <c r="L113" s="23"/>
      <c r="M113" s="23"/>
      <c r="O113" s="23"/>
      <c r="P113" s="23"/>
      <c r="R113" s="23"/>
      <c r="S113" s="23"/>
      <c r="T113" s="23"/>
    </row>
    <row r="114" ht="15.75" customHeight="1">
      <c r="A114" s="23"/>
      <c r="B114" s="23"/>
      <c r="C114" s="23"/>
      <c r="D114" s="23"/>
      <c r="E114" s="23"/>
      <c r="G114" s="23"/>
      <c r="I114" s="23"/>
      <c r="J114" s="23"/>
      <c r="K114" s="23"/>
      <c r="L114" s="23"/>
      <c r="M114" s="23"/>
      <c r="O114" s="23"/>
      <c r="P114" s="23"/>
      <c r="R114" s="23"/>
      <c r="S114" s="23"/>
      <c r="T114" s="23"/>
    </row>
    <row r="115" ht="15.75" customHeight="1">
      <c r="A115" s="23"/>
      <c r="B115" s="23"/>
      <c r="C115" s="23"/>
      <c r="D115" s="23"/>
      <c r="E115" s="23"/>
      <c r="G115" s="23"/>
      <c r="I115" s="23"/>
      <c r="J115" s="23"/>
      <c r="K115" s="23"/>
      <c r="L115" s="23"/>
      <c r="M115" s="23"/>
      <c r="O115" s="23"/>
      <c r="P115" s="23"/>
      <c r="R115" s="23"/>
      <c r="S115" s="23"/>
      <c r="T115" s="23"/>
    </row>
    <row r="116" ht="15.75" customHeight="1">
      <c r="A116" s="23"/>
      <c r="B116" s="23"/>
      <c r="C116" s="23"/>
      <c r="D116" s="23"/>
      <c r="E116" s="23"/>
      <c r="G116" s="23"/>
      <c r="I116" s="23"/>
      <c r="J116" s="23"/>
      <c r="K116" s="23"/>
      <c r="L116" s="23"/>
      <c r="M116" s="23"/>
      <c r="O116" s="23"/>
      <c r="P116" s="23"/>
      <c r="R116" s="23"/>
      <c r="S116" s="23"/>
      <c r="T116" s="23"/>
    </row>
    <row r="117" ht="15.75" customHeight="1">
      <c r="A117" s="23"/>
      <c r="B117" s="23"/>
      <c r="C117" s="23"/>
      <c r="D117" s="23"/>
      <c r="E117" s="23"/>
      <c r="G117" s="23"/>
      <c r="I117" s="23"/>
      <c r="J117" s="23"/>
      <c r="K117" s="23"/>
      <c r="L117" s="23"/>
      <c r="M117" s="23"/>
      <c r="O117" s="23"/>
      <c r="P117" s="23"/>
      <c r="R117" s="23"/>
      <c r="S117" s="23"/>
      <c r="T117" s="23"/>
    </row>
    <row r="118" ht="15.75" customHeight="1">
      <c r="A118" s="23"/>
      <c r="B118" s="23"/>
      <c r="C118" s="23"/>
      <c r="D118" s="23"/>
      <c r="E118" s="23"/>
      <c r="G118" s="23"/>
      <c r="I118" s="23"/>
      <c r="J118" s="23"/>
      <c r="K118" s="23"/>
      <c r="L118" s="23"/>
      <c r="M118" s="23"/>
      <c r="O118" s="23"/>
      <c r="P118" s="23"/>
      <c r="R118" s="23"/>
      <c r="S118" s="23"/>
      <c r="T118" s="23"/>
    </row>
    <row r="119" ht="15.75" customHeight="1">
      <c r="A119" s="23"/>
      <c r="B119" s="23"/>
      <c r="C119" s="23"/>
      <c r="D119" s="23"/>
      <c r="E119" s="23"/>
      <c r="G119" s="23"/>
      <c r="I119" s="23"/>
      <c r="J119" s="23"/>
      <c r="K119" s="23"/>
      <c r="L119" s="23"/>
      <c r="M119" s="23"/>
      <c r="O119" s="23"/>
      <c r="P119" s="23"/>
      <c r="R119" s="23"/>
      <c r="S119" s="23"/>
      <c r="T119" s="23"/>
    </row>
    <row r="120" ht="15.75" customHeight="1">
      <c r="A120" s="23"/>
      <c r="B120" s="23"/>
      <c r="C120" s="23"/>
      <c r="D120" s="23"/>
      <c r="E120" s="23"/>
      <c r="G120" s="23"/>
      <c r="I120" s="23"/>
      <c r="J120" s="23"/>
      <c r="K120" s="23"/>
      <c r="L120" s="23"/>
      <c r="M120" s="23"/>
      <c r="O120" s="23"/>
      <c r="P120" s="23"/>
      <c r="R120" s="23"/>
      <c r="S120" s="23"/>
      <c r="T120" s="23"/>
    </row>
    <row r="121" ht="15.75" customHeight="1">
      <c r="A121" s="23"/>
      <c r="B121" s="23"/>
      <c r="C121" s="23"/>
      <c r="D121" s="23"/>
      <c r="E121" s="23"/>
      <c r="G121" s="23"/>
      <c r="I121" s="23"/>
      <c r="J121" s="23"/>
      <c r="K121" s="23"/>
      <c r="L121" s="23"/>
      <c r="M121" s="23"/>
      <c r="O121" s="23"/>
      <c r="P121" s="23"/>
      <c r="R121" s="23"/>
      <c r="S121" s="23"/>
      <c r="T121" s="23"/>
    </row>
    <row r="122" ht="15.75" customHeight="1">
      <c r="A122" s="23"/>
      <c r="B122" s="23"/>
      <c r="C122" s="23"/>
      <c r="D122" s="23"/>
      <c r="E122" s="23"/>
      <c r="G122" s="23"/>
      <c r="I122" s="23"/>
      <c r="J122" s="23"/>
      <c r="K122" s="23"/>
      <c r="L122" s="23"/>
      <c r="M122" s="23"/>
      <c r="O122" s="23"/>
      <c r="P122" s="23"/>
      <c r="R122" s="23"/>
      <c r="S122" s="23"/>
      <c r="T122" s="23"/>
    </row>
    <row r="123" ht="15.75" customHeight="1">
      <c r="A123" s="23"/>
      <c r="B123" s="23"/>
      <c r="C123" s="23"/>
      <c r="D123" s="23"/>
      <c r="E123" s="23"/>
      <c r="G123" s="23"/>
      <c r="I123" s="23"/>
      <c r="J123" s="23"/>
      <c r="K123" s="23"/>
      <c r="L123" s="23"/>
      <c r="M123" s="23"/>
      <c r="O123" s="23"/>
      <c r="P123" s="23"/>
      <c r="R123" s="23"/>
      <c r="S123" s="23"/>
      <c r="T123" s="23"/>
    </row>
    <row r="124" ht="15.75" customHeight="1">
      <c r="A124" s="23"/>
      <c r="B124" s="23"/>
      <c r="C124" s="23"/>
      <c r="D124" s="23"/>
      <c r="E124" s="23"/>
      <c r="G124" s="23"/>
      <c r="I124" s="23"/>
      <c r="J124" s="23"/>
      <c r="K124" s="23"/>
      <c r="L124" s="23"/>
      <c r="M124" s="23"/>
      <c r="O124" s="23"/>
      <c r="P124" s="23"/>
      <c r="R124" s="23"/>
      <c r="S124" s="23"/>
      <c r="T124" s="23"/>
    </row>
    <row r="125" ht="15.75" customHeight="1">
      <c r="A125" s="23"/>
      <c r="B125" s="23"/>
      <c r="C125" s="23"/>
      <c r="D125" s="23"/>
      <c r="E125" s="23"/>
      <c r="G125" s="23"/>
      <c r="I125" s="23"/>
      <c r="J125" s="23"/>
      <c r="K125" s="23"/>
      <c r="L125" s="23"/>
      <c r="M125" s="23"/>
      <c r="O125" s="23"/>
      <c r="P125" s="23"/>
      <c r="R125" s="23"/>
      <c r="S125" s="23"/>
      <c r="T125" s="23"/>
    </row>
    <row r="126" ht="15.75" customHeight="1">
      <c r="A126" s="23"/>
      <c r="B126" s="23"/>
      <c r="C126" s="23"/>
      <c r="D126" s="23"/>
      <c r="E126" s="23"/>
      <c r="G126" s="23"/>
      <c r="I126" s="23"/>
      <c r="J126" s="23"/>
      <c r="K126" s="23"/>
      <c r="L126" s="23"/>
      <c r="M126" s="23"/>
      <c r="O126" s="23"/>
      <c r="P126" s="23"/>
      <c r="R126" s="23"/>
      <c r="S126" s="23"/>
      <c r="T126" s="23"/>
    </row>
    <row r="127" ht="15.75" customHeight="1">
      <c r="A127" s="23"/>
      <c r="B127" s="23"/>
      <c r="C127" s="23"/>
      <c r="D127" s="23"/>
      <c r="E127" s="23"/>
      <c r="G127" s="23"/>
      <c r="I127" s="23"/>
      <c r="J127" s="23"/>
      <c r="K127" s="23"/>
      <c r="L127" s="23"/>
      <c r="M127" s="23"/>
      <c r="O127" s="23"/>
      <c r="P127" s="23"/>
      <c r="R127" s="23"/>
      <c r="S127" s="23"/>
      <c r="T127" s="23"/>
    </row>
    <row r="128" ht="15.75" customHeight="1">
      <c r="A128" s="23"/>
      <c r="B128" s="23"/>
      <c r="C128" s="23"/>
      <c r="D128" s="23"/>
      <c r="E128" s="23"/>
      <c r="G128" s="23"/>
      <c r="I128" s="23"/>
      <c r="J128" s="23"/>
      <c r="K128" s="23"/>
      <c r="L128" s="23"/>
      <c r="M128" s="23"/>
      <c r="O128" s="23"/>
      <c r="P128" s="23"/>
      <c r="R128" s="23"/>
      <c r="S128" s="23"/>
      <c r="T128" s="23"/>
    </row>
    <row r="129" ht="15.75" customHeight="1">
      <c r="A129" s="23"/>
      <c r="B129" s="23"/>
      <c r="C129" s="23"/>
      <c r="D129" s="23"/>
      <c r="E129" s="23"/>
      <c r="G129" s="23"/>
      <c r="I129" s="23"/>
      <c r="J129" s="23"/>
      <c r="K129" s="23"/>
      <c r="L129" s="23"/>
      <c r="M129" s="23"/>
      <c r="O129" s="23"/>
      <c r="P129" s="23"/>
      <c r="R129" s="23"/>
      <c r="S129" s="23"/>
      <c r="T129" s="23"/>
    </row>
    <row r="130" ht="15.75" customHeight="1">
      <c r="A130" s="23"/>
      <c r="B130" s="23"/>
      <c r="C130" s="23"/>
      <c r="D130" s="23"/>
      <c r="E130" s="23"/>
      <c r="G130" s="23"/>
      <c r="I130" s="23"/>
      <c r="J130" s="23"/>
      <c r="K130" s="23"/>
      <c r="L130" s="23"/>
      <c r="M130" s="23"/>
      <c r="O130" s="23"/>
      <c r="P130" s="23"/>
      <c r="R130" s="23"/>
      <c r="S130" s="23"/>
      <c r="T130" s="23"/>
    </row>
    <row r="131" ht="15.75" customHeight="1">
      <c r="A131" s="23"/>
      <c r="B131" s="23"/>
      <c r="C131" s="23"/>
      <c r="D131" s="23"/>
      <c r="E131" s="23"/>
      <c r="G131" s="23"/>
      <c r="I131" s="23"/>
      <c r="J131" s="23"/>
      <c r="K131" s="23"/>
      <c r="L131" s="23"/>
      <c r="M131" s="23"/>
      <c r="O131" s="23"/>
      <c r="P131" s="23"/>
      <c r="R131" s="23"/>
      <c r="S131" s="23"/>
      <c r="T131" s="23"/>
    </row>
    <row r="132" ht="15.75" customHeight="1">
      <c r="A132" s="23"/>
      <c r="B132" s="23"/>
      <c r="C132" s="23"/>
      <c r="D132" s="23"/>
      <c r="E132" s="23"/>
      <c r="G132" s="23"/>
      <c r="I132" s="23"/>
      <c r="J132" s="23"/>
      <c r="K132" s="23"/>
      <c r="L132" s="23"/>
      <c r="M132" s="23"/>
      <c r="O132" s="23"/>
      <c r="P132" s="23"/>
      <c r="R132" s="23"/>
      <c r="S132" s="23"/>
      <c r="T132" s="23"/>
    </row>
    <row r="133" ht="15.75" customHeight="1">
      <c r="A133" s="23"/>
      <c r="B133" s="23"/>
      <c r="C133" s="23"/>
      <c r="D133" s="23"/>
      <c r="E133" s="23"/>
      <c r="G133" s="23"/>
      <c r="I133" s="23"/>
      <c r="J133" s="23"/>
      <c r="K133" s="23"/>
      <c r="L133" s="23"/>
      <c r="M133" s="23"/>
      <c r="O133" s="23"/>
      <c r="P133" s="23"/>
      <c r="R133" s="23"/>
      <c r="S133" s="23"/>
      <c r="T133" s="23"/>
    </row>
    <row r="134" ht="15.75" customHeight="1">
      <c r="A134" s="23"/>
      <c r="B134" s="23"/>
      <c r="C134" s="23"/>
      <c r="D134" s="23"/>
      <c r="E134" s="23"/>
      <c r="G134" s="23"/>
      <c r="I134" s="23"/>
      <c r="J134" s="23"/>
      <c r="K134" s="23"/>
      <c r="L134" s="23"/>
      <c r="M134" s="23"/>
      <c r="O134" s="23"/>
      <c r="P134" s="23"/>
      <c r="R134" s="23"/>
      <c r="S134" s="23"/>
      <c r="T134" s="23"/>
    </row>
    <row r="135" ht="15.75" customHeight="1">
      <c r="A135" s="23"/>
      <c r="B135" s="23"/>
      <c r="C135" s="23"/>
      <c r="D135" s="23"/>
      <c r="E135" s="23"/>
      <c r="G135" s="23"/>
      <c r="I135" s="23"/>
      <c r="J135" s="23"/>
      <c r="K135" s="23"/>
      <c r="L135" s="23"/>
      <c r="M135" s="23"/>
      <c r="O135" s="23"/>
      <c r="P135" s="23"/>
      <c r="R135" s="23"/>
      <c r="S135" s="23"/>
      <c r="T135" s="23"/>
    </row>
    <row r="136" ht="15.75" customHeight="1">
      <c r="A136" s="23"/>
      <c r="B136" s="23"/>
      <c r="C136" s="23"/>
      <c r="D136" s="23"/>
      <c r="E136" s="23"/>
      <c r="G136" s="23"/>
      <c r="I136" s="23"/>
      <c r="J136" s="23"/>
      <c r="K136" s="23"/>
      <c r="L136" s="23"/>
      <c r="M136" s="23"/>
      <c r="O136" s="23"/>
      <c r="P136" s="23"/>
      <c r="R136" s="23"/>
      <c r="S136" s="23"/>
      <c r="T136" s="23"/>
    </row>
    <row r="137" ht="15.75" customHeight="1">
      <c r="A137" s="23"/>
      <c r="B137" s="23"/>
      <c r="C137" s="23"/>
      <c r="D137" s="23"/>
      <c r="E137" s="23"/>
      <c r="G137" s="23"/>
      <c r="I137" s="23"/>
      <c r="J137" s="23"/>
      <c r="K137" s="23"/>
      <c r="L137" s="23"/>
      <c r="M137" s="23"/>
      <c r="O137" s="23"/>
      <c r="P137" s="23"/>
      <c r="R137" s="23"/>
      <c r="S137" s="23"/>
      <c r="T137" s="23"/>
    </row>
    <row r="138" ht="15.75" customHeight="1">
      <c r="A138" s="23"/>
      <c r="B138" s="23"/>
      <c r="C138" s="23"/>
      <c r="D138" s="23"/>
      <c r="E138" s="23"/>
      <c r="G138" s="23"/>
      <c r="I138" s="23"/>
      <c r="J138" s="23"/>
      <c r="K138" s="23"/>
      <c r="L138" s="23"/>
      <c r="M138" s="23"/>
      <c r="O138" s="23"/>
      <c r="P138" s="23"/>
      <c r="R138" s="23"/>
      <c r="S138" s="23"/>
      <c r="T138" s="23"/>
    </row>
    <row r="139" ht="15.75" customHeight="1">
      <c r="A139" s="23"/>
      <c r="B139" s="23"/>
      <c r="C139" s="23"/>
      <c r="D139" s="23"/>
      <c r="E139" s="23"/>
      <c r="G139" s="23"/>
      <c r="I139" s="23"/>
      <c r="J139" s="23"/>
      <c r="K139" s="23"/>
      <c r="L139" s="23"/>
      <c r="M139" s="23"/>
      <c r="O139" s="23"/>
      <c r="P139" s="23"/>
      <c r="R139" s="23"/>
      <c r="S139" s="23"/>
      <c r="T139" s="23"/>
    </row>
    <row r="140" ht="15.75" customHeight="1">
      <c r="A140" s="23"/>
      <c r="B140" s="23"/>
      <c r="C140" s="23"/>
      <c r="D140" s="23"/>
      <c r="E140" s="23"/>
      <c r="G140" s="23"/>
      <c r="I140" s="23"/>
      <c r="J140" s="23"/>
      <c r="K140" s="23"/>
      <c r="L140" s="23"/>
      <c r="M140" s="23"/>
      <c r="O140" s="23"/>
      <c r="P140" s="23"/>
      <c r="R140" s="23"/>
      <c r="S140" s="23"/>
      <c r="T140" s="23"/>
    </row>
    <row r="141" ht="15.75" customHeight="1">
      <c r="A141" s="23"/>
      <c r="B141" s="23"/>
      <c r="C141" s="23"/>
      <c r="D141" s="23"/>
      <c r="E141" s="23"/>
      <c r="G141" s="23"/>
      <c r="I141" s="23"/>
      <c r="J141" s="23"/>
      <c r="K141" s="23"/>
      <c r="L141" s="23"/>
      <c r="M141" s="23"/>
      <c r="O141" s="23"/>
      <c r="P141" s="23"/>
      <c r="R141" s="23"/>
      <c r="S141" s="23"/>
      <c r="T141" s="23"/>
    </row>
    <row r="142" ht="15.75" customHeight="1">
      <c r="A142" s="23"/>
      <c r="B142" s="23"/>
      <c r="C142" s="23"/>
      <c r="D142" s="23"/>
      <c r="E142" s="23"/>
      <c r="G142" s="23"/>
      <c r="I142" s="23"/>
      <c r="J142" s="23"/>
      <c r="K142" s="23"/>
      <c r="L142" s="23"/>
      <c r="M142" s="23"/>
      <c r="O142" s="23"/>
      <c r="P142" s="23"/>
      <c r="R142" s="23"/>
      <c r="S142" s="23"/>
      <c r="T142" s="23"/>
    </row>
    <row r="143" ht="15.75" customHeight="1">
      <c r="A143" s="23"/>
      <c r="B143" s="23"/>
      <c r="C143" s="23"/>
      <c r="D143" s="23"/>
      <c r="E143" s="23"/>
      <c r="G143" s="23"/>
      <c r="I143" s="23"/>
      <c r="J143" s="23"/>
      <c r="K143" s="23"/>
      <c r="L143" s="23"/>
      <c r="M143" s="23"/>
      <c r="O143" s="23"/>
      <c r="P143" s="23"/>
      <c r="R143" s="23"/>
      <c r="S143" s="23"/>
      <c r="T143" s="23"/>
    </row>
    <row r="144" ht="15.75" customHeight="1">
      <c r="A144" s="23"/>
      <c r="B144" s="23"/>
      <c r="C144" s="23"/>
      <c r="D144" s="23"/>
      <c r="E144" s="23"/>
      <c r="G144" s="23"/>
      <c r="I144" s="23"/>
      <c r="J144" s="23"/>
      <c r="K144" s="23"/>
      <c r="L144" s="23"/>
      <c r="M144" s="23"/>
      <c r="O144" s="23"/>
      <c r="P144" s="23"/>
      <c r="R144" s="23"/>
      <c r="S144" s="23"/>
      <c r="T144" s="23"/>
    </row>
    <row r="145" ht="15.75" customHeight="1">
      <c r="A145" s="23"/>
      <c r="B145" s="23"/>
      <c r="C145" s="23"/>
      <c r="D145" s="23"/>
      <c r="E145" s="23"/>
      <c r="G145" s="23"/>
      <c r="I145" s="23"/>
      <c r="J145" s="23"/>
      <c r="K145" s="23"/>
      <c r="L145" s="23"/>
      <c r="M145" s="23"/>
      <c r="O145" s="23"/>
      <c r="P145" s="23"/>
      <c r="R145" s="23"/>
      <c r="S145" s="23"/>
      <c r="T145" s="23"/>
    </row>
    <row r="146" ht="15.75" customHeight="1">
      <c r="A146" s="23"/>
      <c r="B146" s="23"/>
      <c r="C146" s="23"/>
      <c r="D146" s="23"/>
      <c r="E146" s="23"/>
      <c r="G146" s="23"/>
      <c r="I146" s="23"/>
      <c r="J146" s="23"/>
      <c r="K146" s="23"/>
      <c r="L146" s="23"/>
      <c r="M146" s="23"/>
      <c r="O146" s="23"/>
      <c r="P146" s="23"/>
      <c r="R146" s="23"/>
      <c r="S146" s="23"/>
      <c r="T146" s="23"/>
    </row>
    <row r="147" ht="15.75" customHeight="1">
      <c r="A147" s="23"/>
      <c r="B147" s="23"/>
      <c r="C147" s="23"/>
      <c r="D147" s="23"/>
      <c r="E147" s="23"/>
      <c r="G147" s="23"/>
      <c r="I147" s="23"/>
      <c r="J147" s="23"/>
      <c r="K147" s="23"/>
      <c r="L147" s="23"/>
      <c r="M147" s="23"/>
      <c r="O147" s="23"/>
      <c r="P147" s="23"/>
      <c r="R147" s="23"/>
      <c r="S147" s="23"/>
      <c r="T147" s="23"/>
    </row>
    <row r="148" ht="15.75" customHeight="1">
      <c r="A148" s="23"/>
      <c r="B148" s="23"/>
      <c r="C148" s="23"/>
      <c r="D148" s="23"/>
      <c r="E148" s="23"/>
      <c r="G148" s="23"/>
      <c r="I148" s="23"/>
      <c r="J148" s="23"/>
      <c r="K148" s="23"/>
      <c r="L148" s="23"/>
      <c r="M148" s="23"/>
      <c r="O148" s="23"/>
      <c r="P148" s="23"/>
      <c r="R148" s="23"/>
      <c r="S148" s="23"/>
      <c r="T148" s="23"/>
    </row>
    <row r="149" ht="15.75" customHeight="1">
      <c r="A149" s="23"/>
      <c r="B149" s="23"/>
      <c r="C149" s="23"/>
      <c r="D149" s="23"/>
      <c r="E149" s="23"/>
      <c r="G149" s="23"/>
      <c r="I149" s="23"/>
      <c r="J149" s="23"/>
      <c r="K149" s="23"/>
      <c r="L149" s="23"/>
      <c r="M149" s="23"/>
      <c r="O149" s="23"/>
      <c r="P149" s="23"/>
      <c r="R149" s="23"/>
      <c r="S149" s="23"/>
      <c r="T149" s="23"/>
    </row>
    <row r="150" ht="15.75" customHeight="1">
      <c r="A150" s="23"/>
      <c r="B150" s="23"/>
      <c r="C150" s="23"/>
      <c r="D150" s="23"/>
      <c r="E150" s="23"/>
      <c r="G150" s="23"/>
      <c r="I150" s="23"/>
      <c r="J150" s="23"/>
      <c r="K150" s="23"/>
      <c r="L150" s="23"/>
      <c r="M150" s="23"/>
      <c r="O150" s="23"/>
      <c r="P150" s="23"/>
      <c r="R150" s="23"/>
      <c r="S150" s="23"/>
      <c r="T150" s="23"/>
    </row>
    <row r="151" ht="15.75" customHeight="1">
      <c r="A151" s="23"/>
      <c r="B151" s="23"/>
      <c r="C151" s="23"/>
      <c r="D151" s="23"/>
      <c r="E151" s="23"/>
      <c r="G151" s="23"/>
      <c r="I151" s="23"/>
      <c r="J151" s="23"/>
      <c r="K151" s="23"/>
      <c r="L151" s="23"/>
      <c r="M151" s="23"/>
      <c r="O151" s="23"/>
      <c r="P151" s="23"/>
      <c r="R151" s="23"/>
      <c r="S151" s="23"/>
      <c r="T151" s="23"/>
    </row>
    <row r="152" ht="15.75" customHeight="1">
      <c r="A152" s="23"/>
      <c r="B152" s="23"/>
      <c r="C152" s="23"/>
      <c r="D152" s="23"/>
      <c r="E152" s="23"/>
      <c r="G152" s="23"/>
      <c r="I152" s="23"/>
      <c r="J152" s="23"/>
      <c r="K152" s="23"/>
      <c r="L152" s="23"/>
      <c r="M152" s="23"/>
      <c r="O152" s="23"/>
      <c r="P152" s="23"/>
      <c r="R152" s="23"/>
      <c r="S152" s="23"/>
      <c r="T152" s="23"/>
    </row>
    <row r="153" ht="15.75" customHeight="1">
      <c r="A153" s="23"/>
      <c r="B153" s="23"/>
      <c r="C153" s="23"/>
      <c r="D153" s="23"/>
      <c r="E153" s="23"/>
      <c r="G153" s="23"/>
      <c r="I153" s="23"/>
      <c r="J153" s="23"/>
      <c r="K153" s="23"/>
      <c r="L153" s="23"/>
      <c r="M153" s="23"/>
      <c r="O153" s="23"/>
      <c r="P153" s="23"/>
      <c r="R153" s="23"/>
      <c r="S153" s="23"/>
      <c r="T153" s="23"/>
    </row>
    <row r="154" ht="15.75" customHeight="1">
      <c r="A154" s="23"/>
      <c r="B154" s="23"/>
      <c r="C154" s="23"/>
      <c r="D154" s="23"/>
      <c r="E154" s="23"/>
      <c r="G154" s="23"/>
      <c r="I154" s="23"/>
      <c r="J154" s="23"/>
      <c r="K154" s="23"/>
      <c r="L154" s="23"/>
      <c r="M154" s="23"/>
      <c r="O154" s="23"/>
      <c r="P154" s="23"/>
      <c r="R154" s="23"/>
      <c r="S154" s="23"/>
      <c r="T154" s="23"/>
    </row>
    <row r="155" ht="15.75" customHeight="1">
      <c r="A155" s="23"/>
      <c r="B155" s="23"/>
      <c r="C155" s="23"/>
      <c r="D155" s="23"/>
      <c r="E155" s="23"/>
      <c r="G155" s="23"/>
      <c r="I155" s="23"/>
      <c r="J155" s="23"/>
      <c r="K155" s="23"/>
      <c r="L155" s="23"/>
      <c r="M155" s="23"/>
      <c r="O155" s="23"/>
      <c r="P155" s="23"/>
      <c r="R155" s="23"/>
      <c r="S155" s="23"/>
      <c r="T155" s="23"/>
    </row>
    <row r="156" ht="15.75" customHeight="1">
      <c r="A156" s="23"/>
      <c r="B156" s="23"/>
      <c r="C156" s="23"/>
      <c r="D156" s="23"/>
      <c r="E156" s="23"/>
      <c r="G156" s="23"/>
      <c r="I156" s="23"/>
      <c r="J156" s="23"/>
      <c r="K156" s="23"/>
      <c r="L156" s="23"/>
      <c r="M156" s="23"/>
      <c r="O156" s="23"/>
      <c r="P156" s="23"/>
      <c r="R156" s="23"/>
      <c r="S156" s="23"/>
      <c r="T156" s="23"/>
    </row>
    <row r="157" ht="15.75" customHeight="1">
      <c r="A157" s="23"/>
      <c r="B157" s="23"/>
      <c r="C157" s="23"/>
      <c r="D157" s="23"/>
      <c r="E157" s="23"/>
      <c r="G157" s="23"/>
      <c r="I157" s="23"/>
      <c r="J157" s="23"/>
      <c r="K157" s="23"/>
      <c r="L157" s="23"/>
      <c r="M157" s="23"/>
      <c r="O157" s="23"/>
      <c r="P157" s="23"/>
      <c r="R157" s="23"/>
      <c r="S157" s="23"/>
      <c r="T157" s="23"/>
    </row>
    <row r="158" ht="15.75" customHeight="1">
      <c r="A158" s="23"/>
      <c r="B158" s="23"/>
      <c r="C158" s="23"/>
      <c r="D158" s="23"/>
      <c r="E158" s="23"/>
      <c r="G158" s="23"/>
      <c r="I158" s="23"/>
      <c r="J158" s="23"/>
      <c r="K158" s="23"/>
      <c r="L158" s="23"/>
      <c r="M158" s="23"/>
      <c r="O158" s="23"/>
      <c r="P158" s="23"/>
      <c r="R158" s="23"/>
      <c r="S158" s="23"/>
      <c r="T158" s="23"/>
    </row>
    <row r="159" ht="15.75" customHeight="1">
      <c r="A159" s="23"/>
      <c r="B159" s="23"/>
      <c r="C159" s="23"/>
      <c r="D159" s="23"/>
      <c r="E159" s="23"/>
      <c r="G159" s="23"/>
      <c r="I159" s="23"/>
      <c r="J159" s="23"/>
      <c r="K159" s="23"/>
      <c r="L159" s="23"/>
      <c r="M159" s="23"/>
      <c r="O159" s="23"/>
      <c r="P159" s="23"/>
      <c r="R159" s="23"/>
      <c r="S159" s="23"/>
      <c r="T159" s="23"/>
    </row>
    <row r="160" ht="15.75" customHeight="1">
      <c r="A160" s="23"/>
      <c r="B160" s="23"/>
      <c r="C160" s="23"/>
      <c r="D160" s="23"/>
      <c r="E160" s="23"/>
      <c r="G160" s="23"/>
      <c r="I160" s="23"/>
      <c r="J160" s="23"/>
      <c r="K160" s="23"/>
      <c r="L160" s="23"/>
      <c r="M160" s="23"/>
      <c r="O160" s="23"/>
      <c r="P160" s="23"/>
      <c r="R160" s="23"/>
      <c r="S160" s="23"/>
      <c r="T160" s="23"/>
    </row>
    <row r="161" ht="15.75" customHeight="1">
      <c r="A161" s="23"/>
      <c r="B161" s="23"/>
      <c r="C161" s="23"/>
      <c r="D161" s="23"/>
      <c r="E161" s="23"/>
      <c r="G161" s="23"/>
      <c r="I161" s="23"/>
      <c r="J161" s="23"/>
      <c r="K161" s="23"/>
      <c r="L161" s="23"/>
      <c r="M161" s="23"/>
      <c r="O161" s="23"/>
      <c r="P161" s="23"/>
      <c r="R161" s="23"/>
      <c r="S161" s="23"/>
      <c r="T161" s="23"/>
    </row>
    <row r="162" ht="15.75" customHeight="1">
      <c r="A162" s="23"/>
      <c r="B162" s="23"/>
      <c r="C162" s="23"/>
      <c r="D162" s="23"/>
      <c r="E162" s="23"/>
      <c r="G162" s="23"/>
      <c r="I162" s="23"/>
      <c r="J162" s="23"/>
      <c r="K162" s="23"/>
      <c r="L162" s="23"/>
      <c r="M162" s="23"/>
      <c r="O162" s="23"/>
      <c r="P162" s="23"/>
      <c r="R162" s="23"/>
      <c r="S162" s="23"/>
      <c r="T162" s="23"/>
    </row>
    <row r="163" ht="15.75" customHeight="1">
      <c r="A163" s="23"/>
      <c r="B163" s="23"/>
      <c r="C163" s="23"/>
      <c r="D163" s="23"/>
      <c r="E163" s="23"/>
      <c r="G163" s="23"/>
      <c r="I163" s="23"/>
      <c r="J163" s="23"/>
      <c r="K163" s="23"/>
      <c r="L163" s="23"/>
      <c r="M163" s="23"/>
      <c r="O163" s="23"/>
      <c r="P163" s="23"/>
      <c r="R163" s="23"/>
      <c r="S163" s="23"/>
      <c r="T163" s="23"/>
    </row>
    <row r="164" ht="15.75" customHeight="1">
      <c r="A164" s="23"/>
      <c r="B164" s="23"/>
      <c r="C164" s="23"/>
      <c r="D164" s="23"/>
      <c r="E164" s="23"/>
      <c r="G164" s="23"/>
      <c r="I164" s="23"/>
      <c r="J164" s="23"/>
      <c r="K164" s="23"/>
      <c r="L164" s="23"/>
      <c r="M164" s="23"/>
      <c r="O164" s="23"/>
      <c r="P164" s="23"/>
      <c r="R164" s="23"/>
      <c r="S164" s="23"/>
      <c r="T164" s="23"/>
    </row>
    <row r="165" ht="15.75" customHeight="1">
      <c r="A165" s="23"/>
      <c r="B165" s="23"/>
      <c r="C165" s="23"/>
      <c r="D165" s="23"/>
      <c r="E165" s="23"/>
      <c r="G165" s="23"/>
      <c r="I165" s="23"/>
      <c r="J165" s="23"/>
      <c r="K165" s="23"/>
      <c r="L165" s="23"/>
      <c r="M165" s="23"/>
      <c r="O165" s="23"/>
      <c r="P165" s="23"/>
      <c r="R165" s="23"/>
      <c r="S165" s="23"/>
      <c r="T165" s="23"/>
    </row>
    <row r="166" ht="15.75" customHeight="1">
      <c r="A166" s="23"/>
      <c r="B166" s="23"/>
      <c r="C166" s="23"/>
      <c r="D166" s="23"/>
      <c r="E166" s="23"/>
      <c r="G166" s="23"/>
      <c r="I166" s="23"/>
      <c r="J166" s="23"/>
      <c r="K166" s="23"/>
      <c r="L166" s="23"/>
      <c r="M166" s="23"/>
      <c r="O166" s="23"/>
      <c r="P166" s="23"/>
      <c r="R166" s="23"/>
      <c r="S166" s="23"/>
      <c r="T166" s="23"/>
    </row>
    <row r="167" ht="15.75" customHeight="1">
      <c r="A167" s="23"/>
      <c r="B167" s="23"/>
      <c r="C167" s="23"/>
      <c r="D167" s="23"/>
      <c r="E167" s="23"/>
      <c r="G167" s="23"/>
      <c r="I167" s="23"/>
      <c r="J167" s="23"/>
      <c r="K167" s="23"/>
      <c r="L167" s="23"/>
      <c r="M167" s="23"/>
      <c r="O167" s="23"/>
      <c r="P167" s="23"/>
      <c r="R167" s="23"/>
      <c r="S167" s="23"/>
      <c r="T167" s="23"/>
    </row>
    <row r="168" ht="15.75" customHeight="1">
      <c r="A168" s="23"/>
      <c r="B168" s="23"/>
      <c r="C168" s="23"/>
      <c r="D168" s="23"/>
      <c r="E168" s="23"/>
      <c r="G168" s="23"/>
      <c r="I168" s="23"/>
      <c r="J168" s="23"/>
      <c r="K168" s="23"/>
      <c r="L168" s="23"/>
      <c r="M168" s="23"/>
      <c r="O168" s="23"/>
      <c r="P168" s="23"/>
      <c r="R168" s="23"/>
      <c r="S168" s="23"/>
      <c r="T168" s="23"/>
    </row>
    <row r="169" ht="15.75" customHeight="1">
      <c r="A169" s="23"/>
      <c r="B169" s="23"/>
      <c r="C169" s="23"/>
      <c r="D169" s="23"/>
      <c r="E169" s="23"/>
      <c r="G169" s="23"/>
      <c r="I169" s="23"/>
      <c r="J169" s="23"/>
      <c r="K169" s="23"/>
      <c r="L169" s="23"/>
      <c r="M169" s="23"/>
      <c r="O169" s="23"/>
      <c r="P169" s="23"/>
      <c r="R169" s="23"/>
      <c r="S169" s="23"/>
      <c r="T169" s="23"/>
    </row>
    <row r="170" ht="15.75" customHeight="1">
      <c r="A170" s="23"/>
      <c r="B170" s="23"/>
      <c r="C170" s="23"/>
      <c r="D170" s="23"/>
      <c r="E170" s="23"/>
      <c r="G170" s="23"/>
      <c r="I170" s="23"/>
      <c r="J170" s="23"/>
      <c r="K170" s="23"/>
      <c r="L170" s="23"/>
      <c r="M170" s="23"/>
      <c r="O170" s="23"/>
      <c r="P170" s="23"/>
      <c r="R170" s="23"/>
      <c r="S170" s="23"/>
      <c r="T170" s="23"/>
    </row>
    <row r="171" ht="15.75" customHeight="1">
      <c r="A171" s="23"/>
      <c r="B171" s="23"/>
      <c r="C171" s="23"/>
      <c r="D171" s="23"/>
      <c r="E171" s="23"/>
      <c r="G171" s="23"/>
      <c r="I171" s="23"/>
      <c r="J171" s="23"/>
      <c r="K171" s="23"/>
      <c r="L171" s="23"/>
      <c r="M171" s="23"/>
      <c r="O171" s="23"/>
      <c r="P171" s="23"/>
      <c r="R171" s="23"/>
      <c r="S171" s="23"/>
      <c r="T171" s="23"/>
    </row>
    <row r="172" ht="15.75" customHeight="1">
      <c r="A172" s="23"/>
      <c r="B172" s="23"/>
      <c r="C172" s="23"/>
      <c r="D172" s="23"/>
      <c r="E172" s="23"/>
      <c r="G172" s="23"/>
      <c r="I172" s="23"/>
      <c r="J172" s="23"/>
      <c r="K172" s="23"/>
      <c r="L172" s="23"/>
      <c r="M172" s="23"/>
      <c r="O172" s="23"/>
      <c r="P172" s="23"/>
      <c r="R172" s="23"/>
      <c r="S172" s="23"/>
      <c r="T172" s="23"/>
    </row>
    <row r="173" ht="15.75" customHeight="1">
      <c r="A173" s="23"/>
      <c r="B173" s="23"/>
      <c r="C173" s="23"/>
      <c r="D173" s="23"/>
      <c r="E173" s="23"/>
      <c r="G173" s="23"/>
      <c r="I173" s="23"/>
      <c r="J173" s="23"/>
      <c r="K173" s="23"/>
      <c r="L173" s="23"/>
      <c r="M173" s="23"/>
      <c r="O173" s="23"/>
      <c r="P173" s="23"/>
      <c r="R173" s="23"/>
      <c r="S173" s="23"/>
      <c r="T173" s="23"/>
    </row>
    <row r="174" ht="15.75" customHeight="1">
      <c r="A174" s="23"/>
      <c r="B174" s="23"/>
      <c r="C174" s="23"/>
      <c r="D174" s="23"/>
      <c r="E174" s="23"/>
      <c r="G174" s="23"/>
      <c r="I174" s="23"/>
      <c r="J174" s="23"/>
      <c r="K174" s="23"/>
      <c r="L174" s="23"/>
      <c r="M174" s="23"/>
      <c r="O174" s="23"/>
      <c r="P174" s="23"/>
      <c r="R174" s="23"/>
      <c r="S174" s="23"/>
      <c r="T174" s="23"/>
    </row>
    <row r="175" ht="15.75" customHeight="1">
      <c r="A175" s="23"/>
      <c r="B175" s="23"/>
      <c r="C175" s="23"/>
      <c r="D175" s="23"/>
      <c r="E175" s="23"/>
      <c r="G175" s="23"/>
      <c r="I175" s="23"/>
      <c r="J175" s="23"/>
      <c r="K175" s="23"/>
      <c r="L175" s="23"/>
      <c r="M175" s="23"/>
      <c r="O175" s="23"/>
      <c r="P175" s="23"/>
      <c r="R175" s="23"/>
      <c r="S175" s="23"/>
      <c r="T175" s="23"/>
    </row>
    <row r="176" ht="15.75" customHeight="1">
      <c r="A176" s="23"/>
      <c r="B176" s="23"/>
      <c r="C176" s="23"/>
      <c r="D176" s="23"/>
      <c r="E176" s="23"/>
      <c r="G176" s="23"/>
      <c r="I176" s="23"/>
      <c r="J176" s="23"/>
      <c r="K176" s="23"/>
      <c r="L176" s="23"/>
      <c r="M176" s="23"/>
      <c r="O176" s="23"/>
      <c r="P176" s="23"/>
      <c r="R176" s="23"/>
      <c r="S176" s="23"/>
      <c r="T176" s="23"/>
    </row>
    <row r="177" ht="15.75" customHeight="1">
      <c r="A177" s="23"/>
      <c r="B177" s="23"/>
      <c r="C177" s="23"/>
      <c r="D177" s="23"/>
      <c r="E177" s="23"/>
      <c r="G177" s="23"/>
      <c r="I177" s="23"/>
      <c r="J177" s="23"/>
      <c r="K177" s="23"/>
      <c r="L177" s="23"/>
      <c r="M177" s="23"/>
      <c r="O177" s="23"/>
      <c r="P177" s="23"/>
      <c r="R177" s="23"/>
      <c r="S177" s="23"/>
      <c r="T177" s="23"/>
    </row>
    <row r="178" ht="15.75" customHeight="1">
      <c r="A178" s="23"/>
      <c r="B178" s="23"/>
      <c r="C178" s="23"/>
      <c r="D178" s="23"/>
      <c r="E178" s="23"/>
      <c r="G178" s="23"/>
      <c r="I178" s="23"/>
      <c r="J178" s="23"/>
      <c r="K178" s="23"/>
      <c r="L178" s="23"/>
      <c r="M178" s="23"/>
      <c r="O178" s="23"/>
      <c r="P178" s="23"/>
      <c r="R178" s="23"/>
      <c r="S178" s="23"/>
      <c r="T178" s="23"/>
    </row>
    <row r="179" ht="15.75" customHeight="1">
      <c r="A179" s="23"/>
      <c r="B179" s="23"/>
      <c r="C179" s="23"/>
      <c r="D179" s="23"/>
      <c r="E179" s="23"/>
      <c r="G179" s="23"/>
      <c r="I179" s="23"/>
      <c r="J179" s="23"/>
      <c r="K179" s="23"/>
      <c r="L179" s="23"/>
      <c r="M179" s="23"/>
      <c r="O179" s="23"/>
      <c r="P179" s="23"/>
      <c r="R179" s="23"/>
      <c r="S179" s="23"/>
      <c r="T179" s="23"/>
    </row>
    <row r="180" ht="15.75" customHeight="1">
      <c r="A180" s="23"/>
      <c r="B180" s="23"/>
      <c r="C180" s="23"/>
      <c r="D180" s="23"/>
      <c r="E180" s="23"/>
      <c r="G180" s="23"/>
      <c r="I180" s="23"/>
      <c r="J180" s="23"/>
      <c r="K180" s="23"/>
      <c r="L180" s="23"/>
      <c r="M180" s="23"/>
      <c r="O180" s="23"/>
      <c r="P180" s="23"/>
      <c r="R180" s="23"/>
      <c r="S180" s="23"/>
      <c r="T180" s="23"/>
    </row>
    <row r="181" ht="15.75" customHeight="1">
      <c r="A181" s="23"/>
      <c r="B181" s="23"/>
      <c r="C181" s="23"/>
      <c r="D181" s="23"/>
      <c r="E181" s="23"/>
      <c r="G181" s="23"/>
      <c r="I181" s="23"/>
      <c r="J181" s="23"/>
      <c r="K181" s="23"/>
      <c r="L181" s="23"/>
      <c r="M181" s="23"/>
      <c r="O181" s="23"/>
      <c r="P181" s="23"/>
      <c r="R181" s="23"/>
      <c r="S181" s="23"/>
      <c r="T181" s="23"/>
    </row>
    <row r="182" ht="15.75" customHeight="1">
      <c r="A182" s="23"/>
      <c r="B182" s="23"/>
      <c r="C182" s="23"/>
      <c r="D182" s="23"/>
      <c r="E182" s="23"/>
      <c r="G182" s="23"/>
      <c r="I182" s="23"/>
      <c r="J182" s="23"/>
      <c r="K182" s="23"/>
      <c r="L182" s="23"/>
      <c r="M182" s="23"/>
      <c r="O182" s="23"/>
      <c r="P182" s="23"/>
      <c r="R182" s="23"/>
      <c r="S182" s="23"/>
      <c r="T182" s="23"/>
    </row>
    <row r="183" ht="15.75" customHeight="1">
      <c r="A183" s="23"/>
      <c r="B183" s="23"/>
      <c r="C183" s="23"/>
      <c r="D183" s="23"/>
      <c r="E183" s="23"/>
      <c r="G183" s="23"/>
      <c r="I183" s="23"/>
      <c r="J183" s="23"/>
      <c r="K183" s="23"/>
      <c r="L183" s="23"/>
      <c r="M183" s="23"/>
      <c r="O183" s="23"/>
      <c r="P183" s="23"/>
      <c r="R183" s="23"/>
      <c r="S183" s="23"/>
      <c r="T183" s="23"/>
    </row>
    <row r="184" ht="15.75" customHeight="1">
      <c r="A184" s="23"/>
      <c r="B184" s="23"/>
      <c r="C184" s="23"/>
      <c r="D184" s="23"/>
      <c r="E184" s="23"/>
      <c r="G184" s="23"/>
      <c r="I184" s="23"/>
      <c r="J184" s="23"/>
      <c r="K184" s="23"/>
      <c r="L184" s="23"/>
      <c r="M184" s="23"/>
      <c r="O184" s="23"/>
      <c r="P184" s="23"/>
      <c r="R184" s="23"/>
      <c r="S184" s="23"/>
      <c r="T184" s="23"/>
    </row>
    <row r="185" ht="15.75" customHeight="1">
      <c r="A185" s="23"/>
      <c r="B185" s="23"/>
      <c r="C185" s="23"/>
      <c r="D185" s="23"/>
      <c r="E185" s="23"/>
      <c r="G185" s="23"/>
      <c r="I185" s="23"/>
      <c r="J185" s="23"/>
      <c r="K185" s="23"/>
      <c r="L185" s="23"/>
      <c r="M185" s="23"/>
      <c r="O185" s="23"/>
      <c r="P185" s="23"/>
      <c r="R185" s="23"/>
      <c r="S185" s="23"/>
      <c r="T185" s="23"/>
    </row>
    <row r="186" ht="15.75" customHeight="1">
      <c r="A186" s="23"/>
      <c r="B186" s="23"/>
      <c r="C186" s="23"/>
      <c r="D186" s="23"/>
      <c r="E186" s="23"/>
      <c r="G186" s="23"/>
      <c r="I186" s="23"/>
      <c r="J186" s="23"/>
      <c r="K186" s="23"/>
      <c r="L186" s="23"/>
      <c r="M186" s="23"/>
      <c r="O186" s="23"/>
      <c r="P186" s="23"/>
      <c r="R186" s="23"/>
      <c r="S186" s="23"/>
      <c r="T186" s="23"/>
    </row>
    <row r="187" ht="15.75" customHeight="1">
      <c r="A187" s="23"/>
      <c r="B187" s="23"/>
      <c r="C187" s="23"/>
      <c r="D187" s="23"/>
      <c r="E187" s="23"/>
      <c r="G187" s="23"/>
      <c r="I187" s="23"/>
      <c r="J187" s="23"/>
      <c r="K187" s="23"/>
      <c r="L187" s="23"/>
      <c r="M187" s="23"/>
      <c r="O187" s="23"/>
      <c r="P187" s="23"/>
      <c r="R187" s="23"/>
      <c r="S187" s="23"/>
      <c r="T187" s="23"/>
    </row>
    <row r="188" ht="15.75" customHeight="1">
      <c r="A188" s="23"/>
      <c r="B188" s="23"/>
      <c r="C188" s="23"/>
      <c r="D188" s="23"/>
      <c r="E188" s="23"/>
      <c r="G188" s="23"/>
      <c r="I188" s="23"/>
      <c r="J188" s="23"/>
      <c r="K188" s="23"/>
      <c r="L188" s="23"/>
      <c r="M188" s="23"/>
      <c r="O188" s="23"/>
      <c r="P188" s="23"/>
      <c r="R188" s="23"/>
      <c r="S188" s="23"/>
      <c r="T188" s="23"/>
    </row>
    <row r="189" ht="15.75" customHeight="1">
      <c r="A189" s="23"/>
      <c r="B189" s="23"/>
      <c r="C189" s="23"/>
      <c r="D189" s="23"/>
      <c r="E189" s="23"/>
      <c r="G189" s="23"/>
      <c r="I189" s="23"/>
      <c r="J189" s="23"/>
      <c r="K189" s="23"/>
      <c r="L189" s="23"/>
      <c r="M189" s="23"/>
      <c r="O189" s="23"/>
      <c r="P189" s="23"/>
      <c r="R189" s="23"/>
      <c r="S189" s="23"/>
      <c r="T189" s="23"/>
    </row>
    <row r="190" ht="15.75" customHeight="1">
      <c r="A190" s="23"/>
      <c r="B190" s="23"/>
      <c r="C190" s="23"/>
      <c r="D190" s="23"/>
      <c r="E190" s="23"/>
      <c r="G190" s="23"/>
      <c r="I190" s="23"/>
      <c r="J190" s="23"/>
      <c r="K190" s="23"/>
      <c r="L190" s="23"/>
      <c r="M190" s="23"/>
      <c r="O190" s="23"/>
      <c r="P190" s="23"/>
      <c r="R190" s="23"/>
      <c r="S190" s="23"/>
      <c r="T190" s="23"/>
    </row>
    <row r="191" ht="15.75" customHeight="1">
      <c r="A191" s="23"/>
      <c r="B191" s="23"/>
      <c r="C191" s="23"/>
      <c r="D191" s="23"/>
      <c r="E191" s="23"/>
      <c r="G191" s="23"/>
      <c r="I191" s="23"/>
      <c r="J191" s="23"/>
      <c r="K191" s="23"/>
      <c r="L191" s="23"/>
      <c r="M191" s="23"/>
      <c r="O191" s="23"/>
      <c r="P191" s="23"/>
      <c r="R191" s="23"/>
      <c r="S191" s="23"/>
      <c r="T191" s="23"/>
    </row>
    <row r="192" ht="15.75" customHeight="1">
      <c r="A192" s="23"/>
      <c r="B192" s="23"/>
      <c r="C192" s="23"/>
      <c r="D192" s="23"/>
      <c r="E192" s="23"/>
      <c r="G192" s="23"/>
      <c r="I192" s="23"/>
      <c r="J192" s="23"/>
      <c r="K192" s="23"/>
      <c r="L192" s="23"/>
      <c r="M192" s="23"/>
      <c r="O192" s="23"/>
      <c r="P192" s="23"/>
      <c r="R192" s="23"/>
      <c r="S192" s="23"/>
      <c r="T192" s="23"/>
    </row>
    <row r="193" ht="15.75" customHeight="1">
      <c r="A193" s="23"/>
      <c r="B193" s="23"/>
      <c r="C193" s="23"/>
      <c r="D193" s="23"/>
      <c r="E193" s="23"/>
      <c r="G193" s="23"/>
      <c r="I193" s="23"/>
      <c r="J193" s="23"/>
      <c r="K193" s="23"/>
      <c r="L193" s="23"/>
      <c r="M193" s="23"/>
      <c r="O193" s="23"/>
      <c r="P193" s="23"/>
      <c r="R193" s="23"/>
      <c r="S193" s="23"/>
      <c r="T193" s="23"/>
    </row>
    <row r="194" ht="15.75" customHeight="1">
      <c r="A194" s="23"/>
      <c r="B194" s="23"/>
      <c r="C194" s="23"/>
      <c r="D194" s="23"/>
      <c r="E194" s="23"/>
      <c r="G194" s="23"/>
      <c r="I194" s="23"/>
      <c r="J194" s="23"/>
      <c r="K194" s="23"/>
      <c r="L194" s="23"/>
      <c r="M194" s="23"/>
      <c r="O194" s="23"/>
      <c r="P194" s="23"/>
      <c r="R194" s="23"/>
      <c r="S194" s="23"/>
      <c r="T194" s="23"/>
    </row>
    <row r="195" ht="15.75" customHeight="1">
      <c r="A195" s="23"/>
      <c r="B195" s="23"/>
      <c r="C195" s="23"/>
      <c r="D195" s="23"/>
      <c r="E195" s="23"/>
      <c r="G195" s="23"/>
      <c r="I195" s="23"/>
      <c r="J195" s="23"/>
      <c r="K195" s="23"/>
      <c r="L195" s="23"/>
      <c r="M195" s="23"/>
      <c r="O195" s="23"/>
      <c r="P195" s="23"/>
      <c r="R195" s="23"/>
      <c r="S195" s="23"/>
      <c r="T195" s="23"/>
    </row>
    <row r="196" ht="15.75" customHeight="1">
      <c r="A196" s="23"/>
      <c r="B196" s="23"/>
      <c r="C196" s="23"/>
      <c r="D196" s="23"/>
      <c r="E196" s="23"/>
      <c r="G196" s="23"/>
      <c r="I196" s="23"/>
      <c r="J196" s="23"/>
      <c r="K196" s="23"/>
      <c r="L196" s="23"/>
      <c r="M196" s="23"/>
      <c r="O196" s="23"/>
      <c r="P196" s="23"/>
      <c r="R196" s="23"/>
      <c r="S196" s="23"/>
      <c r="T196" s="23"/>
    </row>
    <row r="197" ht="15.75" customHeight="1">
      <c r="A197" s="23"/>
      <c r="B197" s="23"/>
      <c r="C197" s="23"/>
      <c r="D197" s="23"/>
      <c r="E197" s="23"/>
      <c r="G197" s="23"/>
      <c r="I197" s="23"/>
      <c r="J197" s="23"/>
      <c r="K197" s="23"/>
      <c r="L197" s="23"/>
      <c r="M197" s="23"/>
      <c r="O197" s="23"/>
      <c r="P197" s="23"/>
      <c r="R197" s="23"/>
      <c r="S197" s="23"/>
      <c r="T197" s="23"/>
    </row>
    <row r="198" ht="15.75" customHeight="1">
      <c r="A198" s="23"/>
      <c r="B198" s="23"/>
      <c r="C198" s="23"/>
      <c r="D198" s="23"/>
      <c r="E198" s="23"/>
      <c r="G198" s="23"/>
      <c r="I198" s="23"/>
      <c r="J198" s="23"/>
      <c r="K198" s="23"/>
      <c r="L198" s="23"/>
      <c r="M198" s="23"/>
      <c r="O198" s="23"/>
      <c r="P198" s="23"/>
      <c r="R198" s="23"/>
      <c r="S198" s="23"/>
      <c r="T198" s="23"/>
    </row>
    <row r="199" ht="15.75" customHeight="1">
      <c r="A199" s="23"/>
      <c r="B199" s="23"/>
      <c r="C199" s="23"/>
      <c r="D199" s="23"/>
      <c r="E199" s="23"/>
      <c r="G199" s="23"/>
      <c r="I199" s="23"/>
      <c r="J199" s="23"/>
      <c r="K199" s="23"/>
      <c r="L199" s="23"/>
      <c r="M199" s="23"/>
      <c r="O199" s="23"/>
      <c r="P199" s="23"/>
      <c r="R199" s="23"/>
      <c r="S199" s="23"/>
      <c r="T199" s="23"/>
    </row>
    <row r="200" ht="15.75" customHeight="1">
      <c r="A200" s="23"/>
      <c r="B200" s="23"/>
      <c r="C200" s="23"/>
      <c r="D200" s="23"/>
      <c r="E200" s="23"/>
      <c r="G200" s="23"/>
      <c r="I200" s="23"/>
      <c r="J200" s="23"/>
      <c r="K200" s="23"/>
      <c r="L200" s="23"/>
      <c r="M200" s="23"/>
      <c r="O200" s="23"/>
      <c r="P200" s="23"/>
      <c r="R200" s="23"/>
      <c r="S200" s="23"/>
      <c r="T200" s="23"/>
    </row>
    <row r="201" ht="15.75" customHeight="1">
      <c r="A201" s="23"/>
      <c r="B201" s="23"/>
      <c r="C201" s="23"/>
      <c r="D201" s="23"/>
      <c r="E201" s="23"/>
      <c r="G201" s="23"/>
      <c r="I201" s="23"/>
      <c r="J201" s="23"/>
      <c r="K201" s="23"/>
      <c r="L201" s="23"/>
      <c r="M201" s="23"/>
      <c r="O201" s="23"/>
      <c r="P201" s="23"/>
      <c r="R201" s="23"/>
      <c r="S201" s="23"/>
      <c r="T201" s="23"/>
    </row>
    <row r="202" ht="15.75" customHeight="1">
      <c r="A202" s="23"/>
      <c r="B202" s="23"/>
      <c r="C202" s="23"/>
      <c r="D202" s="23"/>
      <c r="E202" s="23"/>
      <c r="G202" s="23"/>
      <c r="I202" s="23"/>
      <c r="J202" s="23"/>
      <c r="K202" s="23"/>
      <c r="L202" s="23"/>
      <c r="M202" s="23"/>
      <c r="O202" s="23"/>
      <c r="P202" s="23"/>
      <c r="R202" s="23"/>
      <c r="S202" s="23"/>
      <c r="T202" s="23"/>
    </row>
    <row r="203" ht="15.75" customHeight="1">
      <c r="A203" s="23"/>
      <c r="B203" s="23"/>
      <c r="C203" s="23"/>
      <c r="D203" s="23"/>
      <c r="E203" s="23"/>
      <c r="G203" s="23"/>
      <c r="I203" s="23"/>
      <c r="J203" s="23"/>
      <c r="K203" s="23"/>
      <c r="L203" s="23"/>
      <c r="M203" s="23"/>
      <c r="O203" s="23"/>
      <c r="P203" s="23"/>
      <c r="R203" s="23"/>
      <c r="S203" s="23"/>
      <c r="T203" s="23"/>
    </row>
    <row r="204" ht="15.75" customHeight="1">
      <c r="A204" s="23"/>
      <c r="B204" s="23"/>
      <c r="C204" s="23"/>
      <c r="D204" s="23"/>
      <c r="E204" s="23"/>
      <c r="G204" s="23"/>
      <c r="I204" s="23"/>
      <c r="J204" s="23"/>
      <c r="K204" s="23"/>
      <c r="L204" s="23"/>
      <c r="M204" s="23"/>
      <c r="O204" s="23"/>
      <c r="P204" s="23"/>
      <c r="R204" s="23"/>
      <c r="S204" s="23"/>
      <c r="T204" s="23"/>
    </row>
    <row r="205" ht="15.75" customHeight="1">
      <c r="A205" s="23"/>
      <c r="B205" s="23"/>
      <c r="C205" s="23"/>
      <c r="D205" s="23"/>
      <c r="E205" s="23"/>
      <c r="G205" s="23"/>
      <c r="I205" s="23"/>
      <c r="J205" s="23"/>
      <c r="K205" s="23"/>
      <c r="L205" s="23"/>
      <c r="M205" s="23"/>
      <c r="O205" s="23"/>
      <c r="P205" s="23"/>
      <c r="R205" s="23"/>
      <c r="S205" s="23"/>
      <c r="T205" s="23"/>
    </row>
    <row r="206" ht="15.75" customHeight="1">
      <c r="A206" s="23"/>
      <c r="B206" s="23"/>
      <c r="C206" s="23"/>
      <c r="D206" s="23"/>
      <c r="E206" s="23"/>
      <c r="G206" s="23"/>
      <c r="I206" s="23"/>
      <c r="J206" s="23"/>
      <c r="K206" s="23"/>
      <c r="L206" s="23"/>
      <c r="M206" s="23"/>
      <c r="O206" s="23"/>
      <c r="P206" s="23"/>
      <c r="R206" s="23"/>
      <c r="S206" s="23"/>
      <c r="T206" s="23"/>
    </row>
    <row r="207" ht="15.75" customHeight="1">
      <c r="A207" s="23"/>
      <c r="B207" s="23"/>
      <c r="C207" s="23"/>
      <c r="D207" s="23"/>
      <c r="E207" s="23"/>
      <c r="G207" s="23"/>
      <c r="I207" s="23"/>
      <c r="J207" s="23"/>
      <c r="K207" s="23"/>
      <c r="L207" s="23"/>
      <c r="M207" s="23"/>
      <c r="O207" s="23"/>
      <c r="P207" s="23"/>
      <c r="R207" s="23"/>
      <c r="S207" s="23"/>
      <c r="T207" s="23"/>
    </row>
    <row r="208" ht="15.75" customHeight="1">
      <c r="A208" s="23"/>
      <c r="B208" s="23"/>
      <c r="C208" s="23"/>
      <c r="D208" s="23"/>
      <c r="E208" s="23"/>
      <c r="G208" s="23"/>
      <c r="I208" s="23"/>
      <c r="J208" s="23"/>
      <c r="K208" s="23"/>
      <c r="L208" s="23"/>
      <c r="M208" s="23"/>
      <c r="O208" s="23"/>
      <c r="P208" s="23"/>
      <c r="R208" s="23"/>
      <c r="S208" s="23"/>
      <c r="T208" s="23"/>
    </row>
    <row r="209" ht="15.75" customHeight="1">
      <c r="A209" s="23"/>
      <c r="B209" s="23"/>
      <c r="C209" s="23"/>
      <c r="D209" s="23"/>
      <c r="E209" s="23"/>
      <c r="G209" s="23"/>
      <c r="I209" s="23"/>
      <c r="J209" s="23"/>
      <c r="K209" s="23"/>
      <c r="L209" s="23"/>
      <c r="M209" s="23"/>
      <c r="O209" s="23"/>
      <c r="P209" s="23"/>
      <c r="R209" s="23"/>
      <c r="S209" s="23"/>
      <c r="T209" s="23"/>
    </row>
    <row r="210" ht="15.75" customHeight="1">
      <c r="A210" s="23"/>
      <c r="B210" s="23"/>
      <c r="C210" s="23"/>
      <c r="D210" s="23"/>
      <c r="E210" s="23"/>
      <c r="G210" s="23"/>
      <c r="I210" s="23"/>
      <c r="J210" s="23"/>
      <c r="K210" s="23"/>
      <c r="L210" s="23"/>
      <c r="M210" s="23"/>
      <c r="O210" s="23"/>
      <c r="P210" s="23"/>
      <c r="R210" s="23"/>
      <c r="S210" s="23"/>
      <c r="T210" s="23"/>
    </row>
    <row r="211" ht="15.75" customHeight="1">
      <c r="A211" s="23"/>
      <c r="B211" s="23"/>
      <c r="C211" s="23"/>
      <c r="D211" s="23"/>
      <c r="E211" s="23"/>
      <c r="G211" s="23"/>
      <c r="I211" s="23"/>
      <c r="J211" s="23"/>
      <c r="K211" s="23"/>
      <c r="L211" s="23"/>
      <c r="M211" s="23"/>
      <c r="O211" s="23"/>
      <c r="P211" s="23"/>
      <c r="R211" s="23"/>
      <c r="S211" s="23"/>
      <c r="T211" s="23"/>
    </row>
    <row r="212" ht="15.75" customHeight="1">
      <c r="A212" s="23"/>
      <c r="B212" s="23"/>
      <c r="C212" s="23"/>
      <c r="D212" s="23"/>
      <c r="E212" s="23"/>
      <c r="G212" s="23"/>
      <c r="I212" s="23"/>
      <c r="J212" s="23"/>
      <c r="K212" s="23"/>
      <c r="L212" s="23"/>
      <c r="M212" s="23"/>
      <c r="O212" s="23"/>
      <c r="P212" s="23"/>
      <c r="R212" s="23"/>
      <c r="S212" s="23"/>
      <c r="T212" s="23"/>
    </row>
    <row r="213" ht="15.75" customHeight="1">
      <c r="A213" s="23"/>
      <c r="B213" s="23"/>
      <c r="C213" s="23"/>
      <c r="D213" s="23"/>
      <c r="E213" s="23"/>
      <c r="G213" s="23"/>
      <c r="I213" s="23"/>
      <c r="J213" s="23"/>
      <c r="K213" s="23"/>
      <c r="L213" s="23"/>
      <c r="M213" s="23"/>
      <c r="O213" s="23"/>
      <c r="P213" s="23"/>
      <c r="R213" s="23"/>
      <c r="S213" s="23"/>
      <c r="T213" s="23"/>
    </row>
    <row r="214" ht="15.75" customHeight="1">
      <c r="A214" s="23"/>
      <c r="B214" s="23"/>
      <c r="C214" s="23"/>
      <c r="D214" s="23"/>
      <c r="E214" s="23"/>
      <c r="G214" s="23"/>
      <c r="I214" s="23"/>
      <c r="J214" s="23"/>
      <c r="K214" s="23"/>
      <c r="L214" s="23"/>
      <c r="M214" s="23"/>
      <c r="O214" s="23"/>
      <c r="P214" s="23"/>
      <c r="R214" s="23"/>
      <c r="S214" s="23"/>
      <c r="T214" s="23"/>
    </row>
    <row r="215" ht="15.75" customHeight="1">
      <c r="A215" s="23"/>
      <c r="B215" s="23"/>
      <c r="C215" s="23"/>
      <c r="D215" s="23"/>
      <c r="E215" s="23"/>
      <c r="G215" s="23"/>
      <c r="I215" s="23"/>
      <c r="J215" s="23"/>
      <c r="K215" s="23"/>
      <c r="L215" s="23"/>
      <c r="M215" s="23"/>
      <c r="O215" s="23"/>
      <c r="P215" s="23"/>
      <c r="R215" s="23"/>
      <c r="S215" s="23"/>
      <c r="T215" s="23"/>
    </row>
    <row r="216" ht="15.75" customHeight="1">
      <c r="A216" s="23"/>
      <c r="B216" s="23"/>
      <c r="C216" s="23"/>
      <c r="D216" s="23"/>
      <c r="E216" s="23"/>
      <c r="G216" s="23"/>
      <c r="I216" s="23"/>
      <c r="J216" s="23"/>
      <c r="K216" s="23"/>
      <c r="L216" s="23"/>
      <c r="M216" s="23"/>
      <c r="O216" s="23"/>
      <c r="P216" s="23"/>
      <c r="R216" s="23"/>
      <c r="S216" s="23"/>
      <c r="T216" s="23"/>
    </row>
    <row r="217" ht="15.75" customHeight="1">
      <c r="A217" s="23"/>
      <c r="B217" s="23"/>
      <c r="C217" s="23"/>
      <c r="D217" s="23"/>
      <c r="E217" s="23"/>
      <c r="G217" s="23"/>
      <c r="I217" s="23"/>
      <c r="J217" s="23"/>
      <c r="K217" s="23"/>
      <c r="L217" s="23"/>
      <c r="M217" s="23"/>
      <c r="O217" s="23"/>
      <c r="P217" s="23"/>
      <c r="R217" s="23"/>
      <c r="S217" s="23"/>
      <c r="T217" s="23"/>
    </row>
    <row r="218" ht="15.75" customHeight="1">
      <c r="A218" s="23"/>
      <c r="B218" s="23"/>
      <c r="C218" s="23"/>
      <c r="D218" s="23"/>
      <c r="E218" s="23"/>
      <c r="G218" s="23"/>
      <c r="I218" s="23"/>
      <c r="J218" s="23"/>
      <c r="K218" s="23"/>
      <c r="L218" s="23"/>
      <c r="M218" s="23"/>
      <c r="O218" s="23"/>
      <c r="P218" s="23"/>
      <c r="R218" s="23"/>
      <c r="S218" s="23"/>
      <c r="T218" s="23"/>
    </row>
    <row r="219" ht="15.75" customHeight="1">
      <c r="A219" s="23"/>
      <c r="B219" s="23"/>
      <c r="C219" s="23"/>
      <c r="D219" s="23"/>
      <c r="E219" s="23"/>
      <c r="G219" s="23"/>
      <c r="I219" s="23"/>
      <c r="J219" s="23"/>
      <c r="K219" s="23"/>
      <c r="L219" s="23"/>
      <c r="M219" s="23"/>
      <c r="O219" s="23"/>
      <c r="P219" s="23"/>
      <c r="R219" s="23"/>
      <c r="S219" s="23"/>
      <c r="T219" s="23"/>
    </row>
    <row r="220" ht="15.75" customHeight="1">
      <c r="A220" s="23"/>
      <c r="B220" s="23"/>
      <c r="C220" s="23"/>
      <c r="D220" s="23"/>
      <c r="E220" s="23"/>
      <c r="G220" s="23"/>
      <c r="I220" s="23"/>
      <c r="J220" s="23"/>
      <c r="K220" s="23"/>
      <c r="L220" s="23"/>
      <c r="M220" s="23"/>
      <c r="O220" s="23"/>
      <c r="P220" s="23"/>
      <c r="R220" s="23"/>
      <c r="S220" s="23"/>
      <c r="T220" s="23"/>
    </row>
    <row r="221" ht="15.75" customHeight="1">
      <c r="A221" s="23"/>
      <c r="B221" s="23"/>
      <c r="C221" s="23"/>
      <c r="D221" s="23"/>
      <c r="E221" s="23"/>
      <c r="G221" s="23"/>
      <c r="I221" s="23"/>
      <c r="J221" s="23"/>
      <c r="K221" s="23"/>
      <c r="L221" s="23"/>
      <c r="M221" s="23"/>
      <c r="O221" s="23"/>
      <c r="P221" s="23"/>
      <c r="R221" s="23"/>
      <c r="S221" s="23"/>
      <c r="T221" s="23"/>
    </row>
    <row r="222" ht="15.75" customHeight="1">
      <c r="A222" s="23"/>
      <c r="B222" s="23"/>
      <c r="C222" s="23"/>
      <c r="D222" s="23"/>
      <c r="E222" s="23"/>
      <c r="G222" s="23"/>
      <c r="I222" s="23"/>
      <c r="J222" s="23"/>
      <c r="K222" s="23"/>
      <c r="L222" s="23"/>
      <c r="M222" s="23"/>
      <c r="O222" s="23"/>
      <c r="P222" s="23"/>
      <c r="R222" s="23"/>
      <c r="S222" s="23"/>
      <c r="T222" s="23"/>
    </row>
    <row r="223" ht="15.75" customHeight="1">
      <c r="A223" s="23"/>
      <c r="B223" s="23"/>
      <c r="C223" s="23"/>
      <c r="D223" s="23"/>
      <c r="E223" s="23"/>
      <c r="G223" s="23"/>
      <c r="I223" s="23"/>
      <c r="J223" s="23"/>
      <c r="K223" s="23"/>
      <c r="L223" s="23"/>
      <c r="M223" s="23"/>
      <c r="O223" s="23"/>
      <c r="P223" s="23"/>
      <c r="R223" s="23"/>
      <c r="S223" s="23"/>
      <c r="T223" s="23"/>
    </row>
    <row r="224" ht="15.75" customHeight="1">
      <c r="A224" s="23"/>
      <c r="B224" s="23"/>
      <c r="C224" s="23"/>
      <c r="D224" s="23"/>
      <c r="E224" s="23"/>
      <c r="G224" s="23"/>
      <c r="I224" s="23"/>
      <c r="J224" s="23"/>
      <c r="K224" s="23"/>
      <c r="L224" s="23"/>
      <c r="M224" s="23"/>
      <c r="O224" s="23"/>
      <c r="P224" s="23"/>
      <c r="R224" s="23"/>
      <c r="S224" s="23"/>
      <c r="T224" s="23"/>
    </row>
    <row r="225" ht="15.75" customHeight="1">
      <c r="A225" s="23"/>
      <c r="B225" s="23"/>
      <c r="C225" s="23"/>
      <c r="D225" s="23"/>
      <c r="E225" s="23"/>
      <c r="G225" s="23"/>
      <c r="I225" s="23"/>
      <c r="J225" s="23"/>
      <c r="K225" s="23"/>
      <c r="L225" s="23"/>
      <c r="M225" s="23"/>
      <c r="O225" s="23"/>
      <c r="P225" s="23"/>
      <c r="R225" s="23"/>
      <c r="S225" s="23"/>
      <c r="T225" s="23"/>
    </row>
    <row r="226" ht="15.75" customHeight="1">
      <c r="A226" s="23"/>
      <c r="B226" s="23"/>
      <c r="C226" s="23"/>
      <c r="D226" s="23"/>
      <c r="E226" s="23"/>
      <c r="G226" s="23"/>
      <c r="I226" s="23"/>
      <c r="J226" s="23"/>
      <c r="K226" s="23"/>
      <c r="L226" s="23"/>
      <c r="M226" s="23"/>
      <c r="O226" s="23"/>
      <c r="P226" s="23"/>
      <c r="R226" s="23"/>
      <c r="S226" s="23"/>
      <c r="T226" s="23"/>
    </row>
    <row r="227" ht="15.75" customHeight="1">
      <c r="A227" s="23"/>
      <c r="B227" s="23"/>
      <c r="C227" s="23"/>
      <c r="D227" s="23"/>
      <c r="E227" s="23"/>
      <c r="G227" s="23"/>
      <c r="I227" s="23"/>
      <c r="J227" s="23"/>
      <c r="K227" s="23"/>
      <c r="L227" s="23"/>
      <c r="M227" s="23"/>
      <c r="O227" s="23"/>
      <c r="P227" s="23"/>
      <c r="R227" s="23"/>
      <c r="S227" s="23"/>
      <c r="T227" s="23"/>
    </row>
    <row r="228" ht="15.75" customHeight="1">
      <c r="A228" s="23"/>
      <c r="B228" s="23"/>
      <c r="C228" s="23"/>
      <c r="D228" s="23"/>
      <c r="E228" s="23"/>
      <c r="G228" s="23"/>
      <c r="I228" s="23"/>
      <c r="J228" s="23"/>
      <c r="K228" s="23"/>
      <c r="L228" s="23"/>
      <c r="M228" s="23"/>
      <c r="O228" s="23"/>
      <c r="P228" s="23"/>
      <c r="R228" s="23"/>
      <c r="S228" s="23"/>
      <c r="T228" s="23"/>
    </row>
    <row r="229" ht="15.75" customHeight="1">
      <c r="A229" s="23"/>
      <c r="B229" s="23"/>
      <c r="C229" s="23"/>
      <c r="D229" s="23"/>
      <c r="E229" s="23"/>
      <c r="G229" s="23"/>
      <c r="I229" s="23"/>
      <c r="J229" s="23"/>
      <c r="K229" s="23"/>
      <c r="L229" s="23"/>
      <c r="M229" s="23"/>
      <c r="O229" s="23"/>
      <c r="P229" s="23"/>
      <c r="R229" s="23"/>
      <c r="S229" s="23"/>
      <c r="T229" s="23"/>
    </row>
    <row r="230" ht="15.75" customHeight="1">
      <c r="A230" s="23"/>
      <c r="B230" s="23"/>
      <c r="C230" s="23"/>
      <c r="D230" s="23"/>
      <c r="E230" s="23"/>
      <c r="G230" s="23"/>
      <c r="I230" s="23"/>
      <c r="J230" s="23"/>
      <c r="K230" s="23"/>
      <c r="L230" s="23"/>
      <c r="M230" s="23"/>
      <c r="O230" s="23"/>
      <c r="P230" s="23"/>
      <c r="R230" s="23"/>
      <c r="S230" s="23"/>
      <c r="T230" s="23"/>
    </row>
    <row r="231" ht="15.75" customHeight="1">
      <c r="A231" s="23"/>
      <c r="B231" s="23"/>
      <c r="C231" s="23"/>
      <c r="D231" s="23"/>
      <c r="E231" s="23"/>
      <c r="G231" s="23"/>
      <c r="I231" s="23"/>
      <c r="J231" s="23"/>
      <c r="K231" s="23"/>
      <c r="L231" s="23"/>
      <c r="M231" s="23"/>
      <c r="O231" s="23"/>
      <c r="P231" s="23"/>
      <c r="R231" s="23"/>
      <c r="S231" s="23"/>
      <c r="T231" s="23"/>
    </row>
    <row r="232" ht="15.75" customHeight="1">
      <c r="A232" s="23"/>
      <c r="B232" s="23"/>
      <c r="C232" s="23"/>
      <c r="D232" s="23"/>
      <c r="E232" s="23"/>
      <c r="G232" s="23"/>
      <c r="I232" s="23"/>
      <c r="J232" s="23"/>
      <c r="K232" s="23"/>
      <c r="L232" s="23"/>
      <c r="M232" s="23"/>
      <c r="O232" s="23"/>
      <c r="P232" s="23"/>
      <c r="R232" s="23"/>
      <c r="S232" s="23"/>
      <c r="T232" s="23"/>
    </row>
    <row r="233" ht="15.75" customHeight="1">
      <c r="A233" s="23"/>
      <c r="B233" s="23"/>
      <c r="C233" s="23"/>
      <c r="D233" s="23"/>
      <c r="E233" s="23"/>
      <c r="G233" s="23"/>
      <c r="I233" s="23"/>
      <c r="J233" s="23"/>
      <c r="K233" s="23"/>
      <c r="L233" s="23"/>
      <c r="M233" s="23"/>
      <c r="O233" s="23"/>
      <c r="P233" s="23"/>
      <c r="R233" s="23"/>
      <c r="S233" s="23"/>
      <c r="T233" s="23"/>
    </row>
    <row r="234" ht="15.75" customHeight="1">
      <c r="A234" s="23"/>
      <c r="B234" s="23"/>
      <c r="C234" s="23"/>
      <c r="D234" s="23"/>
      <c r="E234" s="23"/>
      <c r="G234" s="23"/>
      <c r="I234" s="23"/>
      <c r="J234" s="23"/>
      <c r="K234" s="23"/>
      <c r="L234" s="23"/>
      <c r="M234" s="23"/>
      <c r="O234" s="23"/>
      <c r="P234" s="23"/>
      <c r="R234" s="23"/>
      <c r="S234" s="23"/>
      <c r="T234" s="23"/>
    </row>
    <row r="235" ht="15.75" customHeight="1">
      <c r="A235" s="23"/>
      <c r="B235" s="23"/>
      <c r="C235" s="23"/>
      <c r="D235" s="23"/>
      <c r="E235" s="23"/>
      <c r="G235" s="23"/>
      <c r="I235" s="23"/>
      <c r="J235" s="23"/>
      <c r="K235" s="23"/>
      <c r="L235" s="23"/>
      <c r="M235" s="23"/>
      <c r="O235" s="23"/>
      <c r="P235" s="23"/>
      <c r="R235" s="23"/>
      <c r="S235" s="23"/>
      <c r="T235" s="23"/>
    </row>
    <row r="236" ht="15.75" customHeight="1">
      <c r="A236" s="23"/>
      <c r="B236" s="23"/>
      <c r="C236" s="23"/>
      <c r="D236" s="23"/>
      <c r="E236" s="23"/>
      <c r="G236" s="23"/>
      <c r="I236" s="23"/>
      <c r="J236" s="23"/>
      <c r="K236" s="23"/>
      <c r="L236" s="23"/>
      <c r="M236" s="23"/>
      <c r="O236" s="23"/>
      <c r="P236" s="23"/>
      <c r="R236" s="23"/>
      <c r="S236" s="23"/>
      <c r="T236" s="23"/>
    </row>
    <row r="237" ht="15.75" customHeight="1">
      <c r="A237" s="23"/>
      <c r="B237" s="23"/>
      <c r="C237" s="23"/>
      <c r="D237" s="23"/>
      <c r="E237" s="23"/>
      <c r="G237" s="23"/>
      <c r="I237" s="23"/>
      <c r="J237" s="23"/>
      <c r="K237" s="23"/>
      <c r="L237" s="23"/>
      <c r="M237" s="23"/>
      <c r="O237" s="23"/>
      <c r="P237" s="23"/>
      <c r="R237" s="23"/>
      <c r="S237" s="23"/>
      <c r="T237" s="23"/>
    </row>
    <row r="238" ht="15.75" customHeight="1">
      <c r="A238" s="23"/>
      <c r="B238" s="23"/>
      <c r="C238" s="23"/>
      <c r="D238" s="23"/>
      <c r="E238" s="23"/>
      <c r="G238" s="23"/>
      <c r="I238" s="23"/>
      <c r="J238" s="23"/>
      <c r="K238" s="23"/>
      <c r="L238" s="23"/>
      <c r="M238" s="23"/>
      <c r="O238" s="23"/>
      <c r="P238" s="23"/>
      <c r="R238" s="23"/>
      <c r="S238" s="23"/>
      <c r="T238" s="23"/>
    </row>
    <row r="239" ht="15.75" customHeight="1">
      <c r="A239" s="23"/>
      <c r="B239" s="23"/>
      <c r="C239" s="23"/>
      <c r="D239" s="23"/>
      <c r="E239" s="23"/>
      <c r="G239" s="23"/>
      <c r="I239" s="23"/>
      <c r="J239" s="23"/>
      <c r="K239" s="23"/>
      <c r="L239" s="23"/>
      <c r="M239" s="23"/>
      <c r="O239" s="23"/>
      <c r="P239" s="23"/>
      <c r="R239" s="23"/>
      <c r="S239" s="23"/>
      <c r="T239" s="23"/>
    </row>
    <row r="240" ht="15.75" customHeight="1">
      <c r="A240" s="23"/>
      <c r="B240" s="23"/>
      <c r="C240" s="23"/>
      <c r="D240" s="23"/>
      <c r="E240" s="23"/>
      <c r="G240" s="23"/>
      <c r="I240" s="23"/>
      <c r="J240" s="23"/>
      <c r="K240" s="23"/>
      <c r="L240" s="23"/>
      <c r="M240" s="23"/>
      <c r="O240" s="23"/>
      <c r="P240" s="23"/>
      <c r="R240" s="23"/>
      <c r="S240" s="23"/>
      <c r="T240" s="23"/>
    </row>
    <row r="241" ht="15.75" customHeight="1">
      <c r="A241" s="23"/>
      <c r="B241" s="23"/>
      <c r="C241" s="23"/>
      <c r="D241" s="23"/>
      <c r="E241" s="23"/>
      <c r="G241" s="23"/>
      <c r="I241" s="23"/>
      <c r="J241" s="23"/>
      <c r="K241" s="23"/>
      <c r="L241" s="23"/>
      <c r="M241" s="23"/>
      <c r="O241" s="23"/>
      <c r="P241" s="23"/>
      <c r="R241" s="23"/>
      <c r="S241" s="23"/>
      <c r="T241" s="23"/>
    </row>
    <row r="242" ht="15.75" customHeight="1">
      <c r="A242" s="23"/>
      <c r="B242" s="23"/>
      <c r="C242" s="23"/>
      <c r="D242" s="23"/>
      <c r="E242" s="23"/>
      <c r="G242" s="23"/>
      <c r="I242" s="23"/>
      <c r="J242" s="23"/>
      <c r="K242" s="23"/>
      <c r="L242" s="23"/>
      <c r="M242" s="23"/>
      <c r="O242" s="23"/>
      <c r="P242" s="23"/>
      <c r="R242" s="23"/>
      <c r="S242" s="23"/>
      <c r="T242" s="23"/>
    </row>
    <row r="243" ht="15.75" customHeight="1">
      <c r="A243" s="23"/>
      <c r="B243" s="23"/>
      <c r="C243" s="23"/>
      <c r="D243" s="23"/>
      <c r="E243" s="23"/>
      <c r="G243" s="23"/>
      <c r="I243" s="23"/>
      <c r="J243" s="23"/>
      <c r="K243" s="23"/>
      <c r="L243" s="23"/>
      <c r="M243" s="23"/>
      <c r="O243" s="23"/>
      <c r="P243" s="23"/>
      <c r="R243" s="23"/>
      <c r="S243" s="23"/>
      <c r="T243" s="23"/>
    </row>
    <row r="244" ht="15.75" customHeight="1">
      <c r="A244" s="23"/>
      <c r="B244" s="23"/>
      <c r="C244" s="23"/>
      <c r="D244" s="23"/>
      <c r="E244" s="23"/>
      <c r="G244" s="23"/>
      <c r="I244" s="23"/>
      <c r="J244" s="23"/>
      <c r="K244" s="23"/>
      <c r="L244" s="23"/>
      <c r="M244" s="23"/>
      <c r="O244" s="23"/>
      <c r="P244" s="23"/>
      <c r="R244" s="23"/>
      <c r="S244" s="23"/>
      <c r="T244" s="23"/>
    </row>
    <row r="245" ht="15.75" customHeight="1">
      <c r="A245" s="23"/>
      <c r="B245" s="23"/>
      <c r="C245" s="23"/>
      <c r="D245" s="23"/>
      <c r="E245" s="23"/>
      <c r="G245" s="23"/>
      <c r="I245" s="23"/>
      <c r="J245" s="23"/>
      <c r="K245" s="23"/>
      <c r="L245" s="23"/>
      <c r="M245" s="23"/>
      <c r="O245" s="23"/>
      <c r="P245" s="23"/>
      <c r="R245" s="23"/>
      <c r="S245" s="23"/>
      <c r="T245" s="23"/>
    </row>
    <row r="246" ht="15.75" customHeight="1">
      <c r="A246" s="23"/>
      <c r="B246" s="23"/>
      <c r="C246" s="23"/>
      <c r="D246" s="23"/>
      <c r="E246" s="23"/>
      <c r="G246" s="23"/>
      <c r="I246" s="23"/>
      <c r="J246" s="23"/>
      <c r="K246" s="23"/>
      <c r="L246" s="23"/>
      <c r="M246" s="23"/>
      <c r="O246" s="23"/>
      <c r="P246" s="23"/>
      <c r="R246" s="23"/>
      <c r="S246" s="23"/>
      <c r="T246" s="23"/>
    </row>
    <row r="247" ht="15.75" customHeight="1">
      <c r="A247" s="23"/>
      <c r="B247" s="23"/>
      <c r="C247" s="23"/>
      <c r="D247" s="23"/>
      <c r="E247" s="23"/>
      <c r="G247" s="23"/>
      <c r="I247" s="23"/>
      <c r="J247" s="23"/>
      <c r="K247" s="23"/>
      <c r="L247" s="23"/>
      <c r="M247" s="23"/>
      <c r="O247" s="23"/>
      <c r="P247" s="23"/>
      <c r="R247" s="23"/>
      <c r="S247" s="23"/>
      <c r="T247" s="23"/>
    </row>
    <row r="248" ht="15.75" customHeight="1">
      <c r="A248" s="23"/>
      <c r="B248" s="23"/>
      <c r="C248" s="23"/>
      <c r="D248" s="23"/>
      <c r="E248" s="23"/>
      <c r="G248" s="23"/>
      <c r="I248" s="23"/>
      <c r="J248" s="23"/>
      <c r="K248" s="23"/>
      <c r="L248" s="23"/>
      <c r="M248" s="23"/>
      <c r="O248" s="23"/>
      <c r="P248" s="23"/>
      <c r="R248" s="23"/>
      <c r="S248" s="23"/>
      <c r="T248" s="23"/>
    </row>
    <row r="249" ht="15.75" customHeight="1">
      <c r="A249" s="23"/>
      <c r="B249" s="23"/>
      <c r="C249" s="23"/>
      <c r="D249" s="23"/>
      <c r="E249" s="23"/>
      <c r="G249" s="23"/>
      <c r="I249" s="23"/>
      <c r="J249" s="23"/>
      <c r="K249" s="23"/>
      <c r="L249" s="23"/>
      <c r="M249" s="23"/>
      <c r="O249" s="23"/>
      <c r="P249" s="23"/>
      <c r="R249" s="23"/>
      <c r="S249" s="23"/>
      <c r="T249" s="23"/>
    </row>
    <row r="250" ht="15.75" customHeight="1">
      <c r="A250" s="23"/>
      <c r="B250" s="23"/>
      <c r="C250" s="23"/>
      <c r="D250" s="23"/>
      <c r="E250" s="23"/>
      <c r="G250" s="23"/>
      <c r="I250" s="23"/>
      <c r="J250" s="23"/>
      <c r="K250" s="23"/>
      <c r="L250" s="23"/>
      <c r="M250" s="23"/>
      <c r="O250" s="23"/>
      <c r="P250" s="23"/>
      <c r="R250" s="23"/>
      <c r="S250" s="23"/>
      <c r="T250" s="23"/>
    </row>
    <row r="251" ht="15.75" customHeight="1">
      <c r="A251" s="23"/>
      <c r="B251" s="23"/>
      <c r="C251" s="23"/>
      <c r="D251" s="23"/>
      <c r="E251" s="23"/>
      <c r="G251" s="23"/>
      <c r="I251" s="23"/>
      <c r="J251" s="23"/>
      <c r="K251" s="23"/>
      <c r="L251" s="23"/>
      <c r="M251" s="23"/>
      <c r="O251" s="23"/>
      <c r="P251" s="23"/>
      <c r="R251" s="23"/>
      <c r="S251" s="23"/>
      <c r="T251" s="23"/>
    </row>
    <row r="252" ht="15.75" customHeight="1">
      <c r="A252" s="23"/>
      <c r="B252" s="23"/>
      <c r="C252" s="23"/>
      <c r="D252" s="23"/>
      <c r="E252" s="23"/>
      <c r="G252" s="23"/>
      <c r="I252" s="23"/>
      <c r="J252" s="23"/>
      <c r="K252" s="23"/>
      <c r="L252" s="23"/>
      <c r="M252" s="23"/>
      <c r="O252" s="23"/>
      <c r="P252" s="23"/>
      <c r="R252" s="23"/>
      <c r="S252" s="23"/>
      <c r="T252" s="23"/>
    </row>
    <row r="253" ht="15.75" customHeight="1">
      <c r="A253" s="23"/>
      <c r="B253" s="23"/>
      <c r="C253" s="23"/>
      <c r="D253" s="23"/>
      <c r="E253" s="23"/>
      <c r="G253" s="23"/>
      <c r="I253" s="23"/>
      <c r="J253" s="23"/>
      <c r="K253" s="23"/>
      <c r="L253" s="23"/>
      <c r="M253" s="23"/>
      <c r="O253" s="23"/>
      <c r="P253" s="23"/>
      <c r="R253" s="23"/>
      <c r="S253" s="23"/>
      <c r="T253" s="23"/>
    </row>
    <row r="254" ht="15.75" customHeight="1">
      <c r="A254" s="23"/>
      <c r="B254" s="23"/>
      <c r="C254" s="23"/>
      <c r="D254" s="23"/>
      <c r="E254" s="23"/>
      <c r="G254" s="23"/>
      <c r="I254" s="23"/>
      <c r="J254" s="23"/>
      <c r="K254" s="23"/>
      <c r="L254" s="23"/>
      <c r="M254" s="23"/>
      <c r="O254" s="23"/>
      <c r="P254" s="23"/>
      <c r="R254" s="23"/>
      <c r="S254" s="23"/>
      <c r="T254" s="23"/>
    </row>
    <row r="255" ht="15.75" customHeight="1">
      <c r="A255" s="23"/>
      <c r="B255" s="23"/>
      <c r="C255" s="23"/>
      <c r="D255" s="23"/>
      <c r="E255" s="23"/>
      <c r="G255" s="23"/>
      <c r="I255" s="23"/>
      <c r="J255" s="23"/>
      <c r="K255" s="23"/>
      <c r="L255" s="23"/>
      <c r="M255" s="23"/>
      <c r="O255" s="23"/>
      <c r="P255" s="23"/>
      <c r="R255" s="23"/>
      <c r="S255" s="23"/>
      <c r="T255" s="23"/>
    </row>
    <row r="256" ht="15.75" customHeight="1">
      <c r="A256" s="23"/>
      <c r="B256" s="23"/>
      <c r="C256" s="23"/>
      <c r="D256" s="23"/>
      <c r="E256" s="23"/>
      <c r="G256" s="23"/>
      <c r="I256" s="23"/>
      <c r="J256" s="23"/>
      <c r="K256" s="23"/>
      <c r="L256" s="23"/>
      <c r="M256" s="23"/>
      <c r="O256" s="23"/>
      <c r="P256" s="23"/>
      <c r="R256" s="23"/>
      <c r="S256" s="23"/>
      <c r="T256" s="23"/>
    </row>
    <row r="257" ht="15.75" customHeight="1">
      <c r="A257" s="23"/>
      <c r="B257" s="23"/>
      <c r="C257" s="23"/>
      <c r="D257" s="23"/>
      <c r="E257" s="23"/>
      <c r="G257" s="23"/>
      <c r="I257" s="23"/>
      <c r="J257" s="23"/>
      <c r="K257" s="23"/>
      <c r="L257" s="23"/>
      <c r="M257" s="23"/>
      <c r="O257" s="23"/>
      <c r="P257" s="23"/>
      <c r="R257" s="23"/>
      <c r="S257" s="23"/>
      <c r="T257" s="23"/>
    </row>
    <row r="258" ht="15.75" customHeight="1">
      <c r="A258" s="23"/>
      <c r="B258" s="23"/>
      <c r="C258" s="23"/>
      <c r="D258" s="23"/>
      <c r="E258" s="23"/>
      <c r="G258" s="23"/>
      <c r="I258" s="23"/>
      <c r="J258" s="23"/>
      <c r="K258" s="23"/>
      <c r="L258" s="23"/>
      <c r="M258" s="23"/>
      <c r="O258" s="23"/>
      <c r="P258" s="23"/>
      <c r="R258" s="23"/>
      <c r="S258" s="23"/>
      <c r="T258" s="23"/>
    </row>
    <row r="259" ht="15.75" customHeight="1">
      <c r="A259" s="23"/>
      <c r="B259" s="23"/>
      <c r="C259" s="23"/>
      <c r="D259" s="23"/>
      <c r="E259" s="23"/>
      <c r="G259" s="23"/>
      <c r="I259" s="23"/>
      <c r="J259" s="23"/>
      <c r="K259" s="23"/>
      <c r="L259" s="23"/>
      <c r="M259" s="23"/>
      <c r="O259" s="23"/>
      <c r="P259" s="23"/>
      <c r="R259" s="23"/>
      <c r="S259" s="23"/>
      <c r="T259" s="23"/>
    </row>
    <row r="260" ht="15.75" customHeight="1">
      <c r="A260" s="23"/>
      <c r="B260" s="23"/>
      <c r="C260" s="23"/>
      <c r="D260" s="23"/>
      <c r="E260" s="23"/>
      <c r="G260" s="23"/>
      <c r="I260" s="23"/>
      <c r="J260" s="23"/>
      <c r="K260" s="23"/>
      <c r="L260" s="23"/>
      <c r="M260" s="23"/>
      <c r="O260" s="23"/>
      <c r="P260" s="23"/>
      <c r="R260" s="23"/>
      <c r="S260" s="23"/>
      <c r="T260" s="23"/>
    </row>
    <row r="261" ht="15.75" customHeight="1">
      <c r="A261" s="23"/>
      <c r="B261" s="23"/>
      <c r="C261" s="23"/>
      <c r="D261" s="23"/>
      <c r="E261" s="23"/>
      <c r="G261" s="23"/>
      <c r="I261" s="23"/>
      <c r="J261" s="23"/>
      <c r="K261" s="23"/>
      <c r="L261" s="23"/>
      <c r="M261" s="23"/>
      <c r="O261" s="23"/>
      <c r="P261" s="23"/>
      <c r="R261" s="23"/>
      <c r="S261" s="23"/>
      <c r="T261" s="23"/>
    </row>
    <row r="262" ht="15.75" customHeight="1">
      <c r="A262" s="23"/>
      <c r="B262" s="23"/>
      <c r="C262" s="23"/>
      <c r="D262" s="23"/>
      <c r="E262" s="23"/>
      <c r="G262" s="23"/>
      <c r="I262" s="23"/>
      <c r="J262" s="23"/>
      <c r="K262" s="23"/>
      <c r="L262" s="23"/>
      <c r="M262" s="23"/>
      <c r="O262" s="23"/>
      <c r="P262" s="23"/>
      <c r="R262" s="23"/>
      <c r="S262" s="23"/>
      <c r="T262" s="23"/>
    </row>
    <row r="263" ht="15.75" customHeight="1">
      <c r="A263" s="23"/>
      <c r="B263" s="23"/>
      <c r="C263" s="23"/>
      <c r="D263" s="23"/>
      <c r="E263" s="23"/>
      <c r="G263" s="23"/>
      <c r="I263" s="23"/>
      <c r="J263" s="23"/>
      <c r="K263" s="23"/>
      <c r="L263" s="23"/>
      <c r="M263" s="23"/>
      <c r="O263" s="23"/>
      <c r="P263" s="23"/>
      <c r="R263" s="23"/>
      <c r="S263" s="23"/>
      <c r="T263" s="23"/>
    </row>
    <row r="264" ht="15.75" customHeight="1">
      <c r="A264" s="23"/>
      <c r="B264" s="23"/>
      <c r="C264" s="23"/>
      <c r="D264" s="23"/>
      <c r="E264" s="23"/>
      <c r="G264" s="23"/>
      <c r="I264" s="23"/>
      <c r="J264" s="23"/>
      <c r="K264" s="23"/>
      <c r="L264" s="23"/>
      <c r="M264" s="23"/>
      <c r="O264" s="23"/>
      <c r="P264" s="23"/>
      <c r="R264" s="23"/>
      <c r="S264" s="23"/>
      <c r="T264" s="23"/>
    </row>
    <row r="265" ht="15.75" customHeight="1">
      <c r="A265" s="23"/>
      <c r="B265" s="23"/>
      <c r="C265" s="23"/>
      <c r="D265" s="23"/>
      <c r="E265" s="23"/>
      <c r="G265" s="23"/>
      <c r="I265" s="23"/>
      <c r="J265" s="23"/>
      <c r="K265" s="23"/>
      <c r="L265" s="23"/>
      <c r="M265" s="23"/>
      <c r="O265" s="23"/>
      <c r="P265" s="23"/>
      <c r="R265" s="23"/>
      <c r="S265" s="23"/>
      <c r="T265" s="23"/>
    </row>
    <row r="266" ht="15.75" customHeight="1">
      <c r="A266" s="23"/>
      <c r="B266" s="23"/>
      <c r="C266" s="23"/>
      <c r="D266" s="23"/>
      <c r="E266" s="23"/>
      <c r="G266" s="23"/>
      <c r="I266" s="23"/>
      <c r="J266" s="23"/>
      <c r="K266" s="23"/>
      <c r="L266" s="23"/>
      <c r="M266" s="23"/>
      <c r="O266" s="23"/>
      <c r="P266" s="23"/>
      <c r="R266" s="23"/>
      <c r="S266" s="23"/>
      <c r="T266" s="23"/>
    </row>
    <row r="267" ht="15.75" customHeight="1">
      <c r="A267" s="23"/>
      <c r="B267" s="23"/>
      <c r="C267" s="23"/>
      <c r="D267" s="23"/>
      <c r="E267" s="23"/>
      <c r="G267" s="23"/>
      <c r="I267" s="23"/>
      <c r="J267" s="23"/>
      <c r="K267" s="23"/>
      <c r="L267" s="23"/>
      <c r="M267" s="23"/>
      <c r="O267" s="23"/>
      <c r="P267" s="23"/>
      <c r="R267" s="23"/>
      <c r="S267" s="23"/>
      <c r="T267" s="23"/>
    </row>
    <row r="268" ht="15.75" customHeight="1">
      <c r="A268" s="23"/>
      <c r="B268" s="23"/>
      <c r="C268" s="23"/>
      <c r="D268" s="23"/>
      <c r="E268" s="23"/>
      <c r="G268" s="23"/>
      <c r="I268" s="23"/>
      <c r="J268" s="23"/>
      <c r="K268" s="23"/>
      <c r="L268" s="23"/>
      <c r="M268" s="23"/>
      <c r="O268" s="23"/>
      <c r="P268" s="23"/>
      <c r="R268" s="23"/>
      <c r="S268" s="23"/>
      <c r="T268" s="23"/>
    </row>
    <row r="269" ht="15.75" customHeight="1">
      <c r="A269" s="23"/>
      <c r="B269" s="23"/>
      <c r="C269" s="23"/>
      <c r="D269" s="23"/>
      <c r="E269" s="23"/>
      <c r="G269" s="23"/>
      <c r="I269" s="23"/>
      <c r="J269" s="23"/>
      <c r="K269" s="23"/>
      <c r="L269" s="23"/>
      <c r="M269" s="23"/>
      <c r="O269" s="23"/>
      <c r="P269" s="23"/>
      <c r="R269" s="23"/>
      <c r="S269" s="23"/>
      <c r="T269" s="23"/>
    </row>
    <row r="270" ht="15.75" customHeight="1">
      <c r="A270" s="23"/>
      <c r="B270" s="23"/>
      <c r="C270" s="23"/>
      <c r="D270" s="23"/>
      <c r="E270" s="23"/>
      <c r="G270" s="23"/>
      <c r="I270" s="23"/>
      <c r="J270" s="23"/>
      <c r="K270" s="23"/>
      <c r="L270" s="23"/>
      <c r="M270" s="23"/>
      <c r="O270" s="23"/>
      <c r="P270" s="23"/>
      <c r="R270" s="23"/>
      <c r="S270" s="23"/>
      <c r="T270" s="23"/>
    </row>
    <row r="271" ht="15.75" customHeight="1">
      <c r="A271" s="23"/>
      <c r="B271" s="23"/>
      <c r="C271" s="23"/>
      <c r="D271" s="23"/>
      <c r="E271" s="23"/>
      <c r="G271" s="23"/>
      <c r="I271" s="23"/>
      <c r="J271" s="23"/>
      <c r="K271" s="23"/>
      <c r="L271" s="23"/>
      <c r="M271" s="23"/>
      <c r="O271" s="23"/>
      <c r="P271" s="23"/>
      <c r="R271" s="23"/>
      <c r="S271" s="23"/>
      <c r="T271" s="23"/>
    </row>
    <row r="272" ht="15.75" customHeight="1">
      <c r="A272" s="23"/>
      <c r="B272" s="23"/>
      <c r="C272" s="23"/>
      <c r="D272" s="23"/>
      <c r="E272" s="23"/>
      <c r="G272" s="23"/>
      <c r="I272" s="23"/>
      <c r="J272" s="23"/>
      <c r="K272" s="23"/>
      <c r="L272" s="23"/>
      <c r="M272" s="23"/>
      <c r="O272" s="23"/>
      <c r="P272" s="23"/>
      <c r="R272" s="23"/>
      <c r="S272" s="23"/>
      <c r="T272" s="23"/>
    </row>
    <row r="273" ht="15.75" customHeight="1">
      <c r="A273" s="23"/>
      <c r="B273" s="23"/>
      <c r="C273" s="23"/>
      <c r="D273" s="23"/>
      <c r="E273" s="23"/>
      <c r="G273" s="23"/>
      <c r="I273" s="23"/>
      <c r="J273" s="23"/>
      <c r="K273" s="23"/>
      <c r="L273" s="23"/>
      <c r="M273" s="23"/>
      <c r="O273" s="23"/>
      <c r="P273" s="23"/>
      <c r="R273" s="23"/>
      <c r="S273" s="23"/>
      <c r="T273" s="23"/>
    </row>
    <row r="274" ht="15.75" customHeight="1">
      <c r="A274" s="23"/>
      <c r="B274" s="23"/>
      <c r="C274" s="23"/>
      <c r="D274" s="23"/>
      <c r="E274" s="23"/>
      <c r="G274" s="23"/>
      <c r="I274" s="23"/>
      <c r="J274" s="23"/>
      <c r="K274" s="23"/>
      <c r="L274" s="23"/>
      <c r="M274" s="23"/>
      <c r="O274" s="23"/>
      <c r="P274" s="23"/>
      <c r="R274" s="23"/>
      <c r="S274" s="23"/>
      <c r="T274" s="23"/>
    </row>
    <row r="275" ht="15.75" customHeight="1">
      <c r="A275" s="23"/>
      <c r="B275" s="23"/>
      <c r="C275" s="23"/>
      <c r="D275" s="23"/>
      <c r="E275" s="23"/>
      <c r="G275" s="23"/>
      <c r="I275" s="23"/>
      <c r="J275" s="23"/>
      <c r="K275" s="23"/>
      <c r="L275" s="23"/>
      <c r="M275" s="23"/>
      <c r="O275" s="23"/>
      <c r="P275" s="23"/>
      <c r="R275" s="23"/>
      <c r="S275" s="23"/>
      <c r="T275" s="23"/>
    </row>
    <row r="276" ht="15.75" customHeight="1">
      <c r="A276" s="23"/>
      <c r="B276" s="23"/>
      <c r="C276" s="23"/>
      <c r="D276" s="23"/>
      <c r="E276" s="23"/>
      <c r="G276" s="23"/>
      <c r="I276" s="23"/>
      <c r="J276" s="23"/>
      <c r="K276" s="23"/>
      <c r="L276" s="23"/>
      <c r="M276" s="23"/>
      <c r="O276" s="23"/>
      <c r="P276" s="23"/>
      <c r="R276" s="23"/>
      <c r="S276" s="23"/>
      <c r="T276" s="23"/>
    </row>
    <row r="277" ht="15.75" customHeight="1">
      <c r="A277" s="23"/>
      <c r="B277" s="23"/>
      <c r="C277" s="23"/>
      <c r="D277" s="23"/>
      <c r="E277" s="23"/>
      <c r="G277" s="23"/>
      <c r="I277" s="23"/>
      <c r="J277" s="23"/>
      <c r="K277" s="23"/>
      <c r="L277" s="23"/>
      <c r="M277" s="23"/>
      <c r="O277" s="23"/>
      <c r="P277" s="23"/>
      <c r="R277" s="23"/>
      <c r="S277" s="23"/>
      <c r="T277" s="23"/>
    </row>
    <row r="278" ht="15.75" customHeight="1">
      <c r="A278" s="23"/>
      <c r="B278" s="23"/>
      <c r="C278" s="23"/>
      <c r="D278" s="23"/>
      <c r="E278" s="23"/>
      <c r="G278" s="23"/>
      <c r="I278" s="23"/>
      <c r="J278" s="23"/>
      <c r="K278" s="23"/>
      <c r="L278" s="23"/>
      <c r="M278" s="23"/>
      <c r="O278" s="23"/>
      <c r="P278" s="23"/>
      <c r="R278" s="23"/>
      <c r="S278" s="23"/>
      <c r="T278" s="23"/>
    </row>
    <row r="279" ht="15.75" customHeight="1">
      <c r="A279" s="23"/>
      <c r="B279" s="23"/>
      <c r="C279" s="23"/>
      <c r="D279" s="23"/>
      <c r="E279" s="23"/>
      <c r="G279" s="23"/>
      <c r="I279" s="23"/>
      <c r="J279" s="23"/>
      <c r="K279" s="23"/>
      <c r="L279" s="23"/>
      <c r="M279" s="23"/>
      <c r="O279" s="23"/>
      <c r="P279" s="23"/>
      <c r="R279" s="23"/>
      <c r="S279" s="23"/>
      <c r="T279" s="23"/>
    </row>
    <row r="280" ht="15.75" customHeight="1">
      <c r="A280" s="23"/>
      <c r="B280" s="23"/>
      <c r="C280" s="23"/>
      <c r="D280" s="23"/>
      <c r="E280" s="23"/>
      <c r="G280" s="23"/>
      <c r="I280" s="23"/>
      <c r="J280" s="23"/>
      <c r="K280" s="23"/>
      <c r="L280" s="23"/>
      <c r="M280" s="23"/>
      <c r="O280" s="23"/>
      <c r="P280" s="23"/>
      <c r="R280" s="23"/>
      <c r="S280" s="23"/>
      <c r="T280" s="23"/>
    </row>
    <row r="281" ht="15.75" customHeight="1">
      <c r="A281" s="23"/>
      <c r="B281" s="23"/>
      <c r="C281" s="23"/>
      <c r="D281" s="23"/>
      <c r="E281" s="23"/>
      <c r="G281" s="23"/>
      <c r="I281" s="23"/>
      <c r="J281" s="23"/>
      <c r="K281" s="23"/>
      <c r="L281" s="23"/>
      <c r="M281" s="23"/>
      <c r="O281" s="23"/>
      <c r="P281" s="23"/>
      <c r="R281" s="23"/>
      <c r="S281" s="23"/>
      <c r="T281" s="23"/>
    </row>
    <row r="282" ht="15.75" customHeight="1">
      <c r="A282" s="23"/>
      <c r="B282" s="23"/>
      <c r="C282" s="23"/>
      <c r="D282" s="23"/>
      <c r="E282" s="23"/>
      <c r="G282" s="23"/>
      <c r="I282" s="23"/>
      <c r="J282" s="23"/>
      <c r="K282" s="23"/>
      <c r="L282" s="23"/>
      <c r="M282" s="23"/>
      <c r="O282" s="23"/>
      <c r="P282" s="23"/>
      <c r="R282" s="23"/>
      <c r="S282" s="23"/>
      <c r="T282" s="23"/>
    </row>
    <row r="283" ht="15.75" customHeight="1">
      <c r="A283" s="23"/>
      <c r="B283" s="23"/>
      <c r="C283" s="23"/>
      <c r="D283" s="23"/>
      <c r="E283" s="23"/>
      <c r="G283" s="23"/>
      <c r="I283" s="23"/>
      <c r="J283" s="23"/>
      <c r="K283" s="23"/>
      <c r="L283" s="23"/>
      <c r="M283" s="23"/>
      <c r="O283" s="23"/>
      <c r="P283" s="23"/>
      <c r="R283" s="23"/>
      <c r="S283" s="23"/>
      <c r="T283" s="23"/>
    </row>
    <row r="284" ht="15.75" customHeight="1">
      <c r="A284" s="23"/>
      <c r="B284" s="23"/>
      <c r="C284" s="23"/>
      <c r="D284" s="23"/>
      <c r="E284" s="23"/>
      <c r="G284" s="23"/>
      <c r="I284" s="23"/>
      <c r="J284" s="23"/>
      <c r="K284" s="23"/>
      <c r="L284" s="23"/>
      <c r="M284" s="23"/>
      <c r="O284" s="23"/>
      <c r="P284" s="23"/>
      <c r="R284" s="23"/>
      <c r="S284" s="23"/>
      <c r="T284" s="23"/>
    </row>
    <row r="285" ht="15.75" customHeight="1">
      <c r="A285" s="23"/>
      <c r="B285" s="23"/>
      <c r="C285" s="23"/>
      <c r="D285" s="23"/>
      <c r="E285" s="23"/>
      <c r="G285" s="23"/>
      <c r="I285" s="23"/>
      <c r="J285" s="23"/>
      <c r="K285" s="23"/>
      <c r="L285" s="23"/>
      <c r="M285" s="23"/>
      <c r="O285" s="23"/>
      <c r="P285" s="23"/>
      <c r="R285" s="23"/>
      <c r="S285" s="23"/>
      <c r="T285" s="23"/>
    </row>
    <row r="286" ht="15.75" customHeight="1">
      <c r="A286" s="23"/>
      <c r="B286" s="23"/>
      <c r="C286" s="23"/>
      <c r="D286" s="23"/>
      <c r="E286" s="23"/>
      <c r="G286" s="23"/>
      <c r="I286" s="23"/>
      <c r="J286" s="23"/>
      <c r="K286" s="23"/>
      <c r="L286" s="23"/>
      <c r="M286" s="23"/>
      <c r="O286" s="23"/>
      <c r="P286" s="23"/>
      <c r="R286" s="23"/>
      <c r="S286" s="23"/>
      <c r="T286" s="23"/>
    </row>
    <row r="287" ht="15.75" customHeight="1">
      <c r="A287" s="23"/>
      <c r="B287" s="23"/>
      <c r="C287" s="23"/>
      <c r="D287" s="23"/>
      <c r="E287" s="23"/>
      <c r="G287" s="23"/>
      <c r="I287" s="23"/>
      <c r="J287" s="23"/>
      <c r="K287" s="23"/>
      <c r="L287" s="23"/>
      <c r="M287" s="23"/>
      <c r="O287" s="23"/>
      <c r="P287" s="23"/>
      <c r="R287" s="23"/>
      <c r="S287" s="23"/>
      <c r="T287" s="23"/>
    </row>
    <row r="288" ht="15.75" customHeight="1">
      <c r="A288" s="23"/>
      <c r="B288" s="23"/>
      <c r="C288" s="23"/>
      <c r="D288" s="23"/>
      <c r="E288" s="23"/>
      <c r="G288" s="23"/>
      <c r="I288" s="23"/>
      <c r="J288" s="23"/>
      <c r="K288" s="23"/>
      <c r="L288" s="23"/>
      <c r="M288" s="23"/>
      <c r="O288" s="23"/>
      <c r="P288" s="23"/>
      <c r="R288" s="23"/>
      <c r="S288" s="23"/>
      <c r="T288" s="23"/>
    </row>
    <row r="289" ht="15.75" customHeight="1">
      <c r="A289" s="23"/>
      <c r="B289" s="23"/>
      <c r="C289" s="23"/>
      <c r="D289" s="23"/>
      <c r="E289" s="23"/>
      <c r="G289" s="23"/>
      <c r="I289" s="23"/>
      <c r="J289" s="23"/>
      <c r="K289" s="23"/>
      <c r="L289" s="23"/>
      <c r="M289" s="23"/>
      <c r="O289" s="23"/>
      <c r="P289" s="23"/>
      <c r="R289" s="23"/>
      <c r="S289" s="23"/>
      <c r="T289" s="23"/>
    </row>
    <row r="290" ht="15.75" customHeight="1">
      <c r="A290" s="23"/>
      <c r="B290" s="23"/>
      <c r="C290" s="23"/>
      <c r="D290" s="23"/>
      <c r="E290" s="23"/>
      <c r="G290" s="23"/>
      <c r="I290" s="23"/>
      <c r="J290" s="23"/>
      <c r="K290" s="23"/>
      <c r="L290" s="23"/>
      <c r="M290" s="23"/>
      <c r="O290" s="23"/>
      <c r="P290" s="23"/>
      <c r="R290" s="23"/>
      <c r="S290" s="23"/>
      <c r="T290" s="23"/>
    </row>
    <row r="291" ht="15.75" customHeight="1">
      <c r="A291" s="23"/>
      <c r="B291" s="23"/>
      <c r="C291" s="23"/>
      <c r="D291" s="23"/>
      <c r="E291" s="23"/>
      <c r="G291" s="23"/>
      <c r="I291" s="23"/>
      <c r="J291" s="23"/>
      <c r="K291" s="23"/>
      <c r="L291" s="23"/>
      <c r="M291" s="23"/>
      <c r="O291" s="23"/>
      <c r="P291" s="23"/>
      <c r="R291" s="23"/>
      <c r="S291" s="23"/>
      <c r="T291" s="23"/>
    </row>
    <row r="292" ht="15.75" customHeight="1">
      <c r="A292" s="23"/>
      <c r="B292" s="23"/>
      <c r="C292" s="23"/>
      <c r="D292" s="23"/>
      <c r="E292" s="23"/>
      <c r="G292" s="23"/>
      <c r="I292" s="23"/>
      <c r="J292" s="23"/>
      <c r="K292" s="23"/>
      <c r="L292" s="23"/>
      <c r="M292" s="23"/>
      <c r="O292" s="23"/>
      <c r="P292" s="23"/>
      <c r="R292" s="23"/>
      <c r="S292" s="23"/>
      <c r="T292" s="23"/>
    </row>
    <row r="293" ht="15.75" customHeight="1">
      <c r="A293" s="23"/>
      <c r="B293" s="23"/>
      <c r="C293" s="23"/>
      <c r="D293" s="23"/>
      <c r="E293" s="23"/>
      <c r="G293" s="23"/>
      <c r="I293" s="23"/>
      <c r="J293" s="23"/>
      <c r="K293" s="23"/>
      <c r="L293" s="23"/>
      <c r="M293" s="23"/>
      <c r="O293" s="23"/>
      <c r="P293" s="23"/>
      <c r="R293" s="23"/>
      <c r="S293" s="23"/>
      <c r="T293" s="23"/>
    </row>
    <row r="294" ht="15.75" customHeight="1">
      <c r="A294" s="23"/>
      <c r="B294" s="23"/>
      <c r="C294" s="23"/>
      <c r="D294" s="23"/>
      <c r="E294" s="23"/>
      <c r="G294" s="23"/>
      <c r="I294" s="23"/>
      <c r="J294" s="23"/>
      <c r="K294" s="23"/>
      <c r="L294" s="23"/>
      <c r="M294" s="23"/>
      <c r="O294" s="23"/>
      <c r="P294" s="23"/>
      <c r="R294" s="23"/>
      <c r="S294" s="23"/>
      <c r="T294" s="23"/>
    </row>
    <row r="295" ht="15.75" customHeight="1">
      <c r="A295" s="23"/>
      <c r="B295" s="23"/>
      <c r="C295" s="23"/>
      <c r="D295" s="23"/>
      <c r="E295" s="23"/>
      <c r="G295" s="23"/>
      <c r="I295" s="23"/>
      <c r="J295" s="23"/>
      <c r="K295" s="23"/>
      <c r="L295" s="23"/>
      <c r="M295" s="23"/>
      <c r="O295" s="23"/>
      <c r="P295" s="23"/>
      <c r="R295" s="23"/>
      <c r="S295" s="23"/>
      <c r="T295" s="23"/>
    </row>
    <row r="296" ht="15.75" customHeight="1">
      <c r="A296" s="23"/>
      <c r="B296" s="23"/>
      <c r="C296" s="23"/>
      <c r="D296" s="23"/>
      <c r="E296" s="23"/>
      <c r="G296" s="23"/>
      <c r="I296" s="23"/>
      <c r="J296" s="23"/>
      <c r="K296" s="23"/>
      <c r="L296" s="23"/>
      <c r="M296" s="23"/>
      <c r="O296" s="23"/>
      <c r="P296" s="23"/>
      <c r="R296" s="23"/>
      <c r="S296" s="23"/>
      <c r="T296" s="23"/>
    </row>
    <row r="297" ht="15.75" customHeight="1">
      <c r="A297" s="23"/>
      <c r="B297" s="23"/>
      <c r="C297" s="23"/>
      <c r="D297" s="23"/>
      <c r="E297" s="23"/>
      <c r="G297" s="23"/>
      <c r="I297" s="23"/>
      <c r="J297" s="23"/>
      <c r="K297" s="23"/>
      <c r="L297" s="23"/>
      <c r="M297" s="23"/>
      <c r="O297" s="23"/>
      <c r="P297" s="23"/>
      <c r="R297" s="23"/>
      <c r="S297" s="23"/>
      <c r="T297" s="23"/>
    </row>
    <row r="298" ht="15.75" customHeight="1">
      <c r="A298" s="23"/>
      <c r="B298" s="23"/>
      <c r="C298" s="23"/>
      <c r="D298" s="23"/>
      <c r="E298" s="23"/>
      <c r="G298" s="23"/>
      <c r="I298" s="23"/>
      <c r="J298" s="23"/>
      <c r="K298" s="23"/>
      <c r="L298" s="23"/>
      <c r="M298" s="23"/>
      <c r="O298" s="23"/>
      <c r="P298" s="23"/>
      <c r="R298" s="23"/>
      <c r="S298" s="23"/>
      <c r="T298" s="23"/>
    </row>
    <row r="299" ht="15.75" customHeight="1">
      <c r="A299" s="45"/>
      <c r="B299" s="45"/>
      <c r="C299" s="23"/>
      <c r="D299" s="45"/>
      <c r="E299" s="45"/>
      <c r="G299" s="23"/>
      <c r="H299" s="45"/>
      <c r="I299" s="45"/>
      <c r="J299" s="45"/>
      <c r="K299" s="45"/>
      <c r="L299" s="45"/>
      <c r="M299" s="45"/>
      <c r="N299" s="45"/>
      <c r="O299" s="45"/>
      <c r="P299" s="45"/>
      <c r="R299" s="45"/>
      <c r="S299" s="45"/>
      <c r="T299" s="45"/>
      <c r="U299" s="45"/>
    </row>
    <row r="300" ht="15.75" customHeight="1">
      <c r="A300" s="45"/>
      <c r="B300" s="45"/>
      <c r="C300" s="45"/>
      <c r="D300" s="45"/>
      <c r="E300" s="45"/>
      <c r="G300" s="23"/>
      <c r="H300" s="45"/>
      <c r="I300" s="45"/>
      <c r="J300" s="45"/>
      <c r="K300" s="45"/>
      <c r="L300" s="45"/>
      <c r="M300" s="45"/>
      <c r="N300" s="45"/>
      <c r="O300" s="45"/>
      <c r="P300" s="45"/>
      <c r="R300" s="45"/>
      <c r="S300" s="45"/>
      <c r="T300" s="45"/>
      <c r="U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</row>
    <row r="303" ht="15.75" customHeight="1">
      <c r="A303" s="45"/>
      <c r="B303" s="45"/>
      <c r="C303" s="45"/>
      <c r="D303" s="45"/>
      <c r="E303" s="23"/>
      <c r="G303" s="23"/>
      <c r="H303" s="45"/>
      <c r="I303" s="45"/>
      <c r="J303" s="45"/>
      <c r="K303" s="45"/>
      <c r="L303" s="45"/>
      <c r="M303" s="45"/>
      <c r="N303" s="45"/>
      <c r="O303" s="45"/>
      <c r="P303" s="45"/>
      <c r="R303" s="45"/>
      <c r="S303" s="45"/>
      <c r="T303" s="45"/>
      <c r="U303" s="45"/>
    </row>
    <row r="304" ht="15.75" customHeight="1">
      <c r="A304" s="45"/>
      <c r="B304" s="45"/>
      <c r="C304" s="45"/>
      <c r="D304" s="45"/>
      <c r="E304" s="23"/>
      <c r="G304" s="23"/>
      <c r="H304" s="45"/>
      <c r="I304" s="45"/>
      <c r="J304" s="45"/>
      <c r="K304" s="45"/>
      <c r="L304" s="45"/>
      <c r="M304" s="45"/>
      <c r="N304" s="45"/>
      <c r="O304" s="45"/>
      <c r="P304" s="45"/>
      <c r="R304" s="45"/>
      <c r="S304" s="45"/>
      <c r="T304" s="45"/>
      <c r="U304" s="45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V$304"/>
  <mergeCells count="3">
    <mergeCell ref="A1:V1"/>
    <mergeCell ref="A2:V2"/>
    <mergeCell ref="A3:V3"/>
  </mergeCells>
  <dataValidations>
    <dataValidation type="list" allowBlank="1" showInputMessage="1" showErrorMessage="1" prompt="Стартовая связь" sqref="I5:I304">
      <formula1>'Система'!$K$33:$K$34</formula1>
    </dataValidation>
    <dataValidation type="decimal" operator="greaterThanOrEqual" allowBlank="1" showDropDown="1" showInputMessage="1" showErrorMessage="1" prompt="Порядок отрисовки: 0 или больше" sqref="T5:T304">
      <formula1>0.0</formula1>
    </dataValidation>
    <dataValidation type="list" allowBlank="1" showInputMessage="1" showErrorMessage="1" prompt="Ветка по умолчанию" sqref="R5:R304">
      <formula1>'Система'!$K$33:$K$34</formula1>
    </dataValidation>
    <dataValidation type="list" allowBlank="1" showInputMessage="1" showErrorMessage="1" prompt="Приоритет" sqref="K5:K304">
      <formula1>'Система'!$M$33:$M$36</formula1>
    </dataValidation>
    <dataValidation type="list" allowBlank="1" showInputMessage="1" showErrorMessage="1" prompt="Тип связи" sqref="D5:D304">
      <formula1>'Система'!$F$33:$F$37</formula1>
    </dataValidation>
    <dataValidation type="list" allowBlank="1" showInputMessage="1" showErrorMessage="1" prompt="Версия" sqref="P5:P304">
      <formula1>'Система'!$AE$33:$AE$132</formula1>
    </dataValidation>
    <dataValidation type="custom" allowBlank="1" showDropDown="1" showInputMessage="1" showErrorMessage="1" prompt="Стабильный ID формата edge-..." sqref="A5:A304">
      <formula1>OR(A5="",REGEXMATCH(A5,"^edge-[A-Za-z0-9._-]+$"))</formula1>
    </dataValidation>
    <dataValidation type="list" allowBlank="1" showInputMessage="1" showErrorMessage="1" prompt="Процесс" sqref="B5:B304">
      <formula1>'Система'!$Y$33:$Y$232</formula1>
    </dataValidation>
    <dataValidation type="list" allowBlank="1" showInputMessage="1" showErrorMessage="1" prompt="Принимающая решение позиция" sqref="G5:G304">
      <formula1>'Система'!$AC$33:$AC$232</formula1>
    </dataValidation>
    <dataValidation type="list" allowBlank="1" showInputMessage="1" showErrorMessage="1" prompt="Слой модели" sqref="O5:O304">
      <formula1>'Система'!$B$33:$B$34</formula1>
    </dataValidation>
    <dataValidation type="list" allowBlank="1" showInputMessage="1" showErrorMessage="1" prompt="Целевое действие" sqref="E5:E304">
      <formula1>'Система'!$Z$33:$Z$332</formula1>
    </dataValidation>
    <dataValidation type="list" allowBlank="1" showInputMessage="1" showErrorMessage="1" prompt="Показывать связь на схеме" sqref="S5:S304">
      <formula1>'Система'!$K$33:$K$34</formula1>
    </dataValidation>
    <dataValidation type="list" allowBlank="1" showInputMessage="1" showErrorMessage="1" prompt="Исходное действие" sqref="C5:C304">
      <formula1>'Система'!$Z$33:$Z$332</formula1>
    </dataValidation>
    <dataValidation type="list" allowBlank="1" showInputMessage="1" showErrorMessage="1" prompt="Финальная связь" sqref="J5:J304">
      <formula1>'Система'!$K$33:$K$34</formula1>
    </dataValidation>
    <dataValidation type="list" allowBlank="1" showInputMessage="1" showErrorMessage="1" prompt="Статус знания" sqref="L5:L304">
      <formula1>'Система'!$A$33:$A$38</formula1>
    </dataValidation>
    <dataValidation type="list" allowBlank="1" showInputMessage="1" showErrorMessage="1" prompt="Источник" sqref="M5:M3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5.0"/>
    <col customWidth="1" min="3" max="3" width="20.0"/>
    <col customWidth="1" min="4" max="4" width="15.0"/>
    <col customWidth="1" min="5" max="5" width="31.13"/>
    <col customWidth="1" min="6" max="7" width="15.0"/>
    <col customWidth="1" min="8" max="8" width="31.13"/>
    <col customWidth="1" min="9" max="10" width="15.0"/>
    <col customWidth="1" min="11" max="12" width="12.25"/>
    <col customWidth="1" min="13" max="13" width="31.13"/>
    <col customWidth="1" min="14" max="26" width="8.63"/>
  </cols>
  <sheetData>
    <row r="1" ht="25.5" customHeight="1">
      <c r="A1" s="1" t="s">
        <v>581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2.5" customHeight="1">
      <c r="A2" s="4" t="s">
        <v>582</v>
      </c>
    </row>
    <row r="3" ht="19.5" customHeight="1">
      <c r="A3" s="7" t="s">
        <v>8</v>
      </c>
    </row>
    <row r="4" ht="39.0" customHeight="1">
      <c r="A4" s="10" t="s">
        <v>583</v>
      </c>
      <c r="B4" s="10" t="s">
        <v>434</v>
      </c>
      <c r="C4" s="10" t="s">
        <v>584</v>
      </c>
      <c r="D4" s="10" t="s">
        <v>585</v>
      </c>
      <c r="E4" s="10" t="s">
        <v>586</v>
      </c>
      <c r="F4" s="13" t="s">
        <v>587</v>
      </c>
      <c r="G4" s="13" t="s">
        <v>588</v>
      </c>
      <c r="H4" s="13" t="s">
        <v>589</v>
      </c>
      <c r="I4" s="10" t="s">
        <v>36</v>
      </c>
      <c r="J4" s="10" t="s">
        <v>38</v>
      </c>
      <c r="K4" s="10" t="s">
        <v>40</v>
      </c>
      <c r="L4" s="13" t="s">
        <v>44</v>
      </c>
      <c r="M4" s="13" t="s">
        <v>52</v>
      </c>
    </row>
    <row r="5">
      <c r="A5" s="23"/>
      <c r="B5" s="23"/>
      <c r="D5" s="23"/>
      <c r="F5" s="23"/>
      <c r="G5" s="23"/>
      <c r="I5" s="23"/>
      <c r="J5" s="23"/>
      <c r="K5" s="24"/>
      <c r="L5" s="24"/>
    </row>
    <row r="6">
      <c r="A6" s="23"/>
      <c r="B6" s="23"/>
      <c r="D6" s="23"/>
      <c r="F6" s="23"/>
      <c r="G6" s="23"/>
      <c r="I6" s="23"/>
      <c r="J6" s="23"/>
      <c r="K6" s="24"/>
      <c r="L6" s="24"/>
    </row>
    <row r="7">
      <c r="A7" s="23"/>
      <c r="B7" s="23"/>
      <c r="D7" s="23"/>
      <c r="F7" s="23"/>
      <c r="G7" s="23"/>
      <c r="I7" s="23"/>
      <c r="J7" s="23"/>
      <c r="K7" s="24"/>
      <c r="L7" s="24"/>
    </row>
    <row r="8">
      <c r="A8" s="23"/>
      <c r="B8" s="23"/>
      <c r="D8" s="23"/>
      <c r="F8" s="23"/>
      <c r="G8" s="23"/>
      <c r="I8" s="23"/>
      <c r="J8" s="23"/>
      <c r="K8" s="24"/>
      <c r="L8" s="24"/>
    </row>
    <row r="9">
      <c r="A9" s="23"/>
      <c r="B9" s="23"/>
      <c r="D9" s="23"/>
      <c r="F9" s="23"/>
      <c r="G9" s="23"/>
      <c r="I9" s="23"/>
      <c r="J9" s="23"/>
      <c r="K9" s="24"/>
      <c r="L9" s="24"/>
    </row>
    <row r="10">
      <c r="A10" s="23"/>
      <c r="B10" s="23"/>
      <c r="D10" s="23"/>
      <c r="F10" s="23"/>
      <c r="G10" s="23"/>
      <c r="I10" s="23"/>
      <c r="J10" s="23"/>
      <c r="K10" s="24"/>
      <c r="L10" s="24"/>
    </row>
    <row r="11">
      <c r="A11" s="23"/>
      <c r="B11" s="23"/>
      <c r="D11" s="23"/>
      <c r="F11" s="23"/>
      <c r="G11" s="23"/>
      <c r="I11" s="23"/>
      <c r="J11" s="23"/>
      <c r="K11" s="24"/>
      <c r="L11" s="24"/>
    </row>
    <row r="12">
      <c r="A12" s="23"/>
      <c r="B12" s="23"/>
      <c r="D12" s="23"/>
      <c r="F12" s="23"/>
      <c r="G12" s="23"/>
      <c r="I12" s="23"/>
      <c r="J12" s="23"/>
      <c r="K12" s="24"/>
      <c r="L12" s="24"/>
    </row>
    <row r="13">
      <c r="A13" s="23"/>
      <c r="B13" s="23"/>
      <c r="D13" s="23"/>
      <c r="F13" s="23"/>
      <c r="G13" s="23"/>
      <c r="I13" s="23"/>
      <c r="J13" s="23"/>
      <c r="K13" s="24"/>
      <c r="L13" s="24"/>
    </row>
    <row r="14">
      <c r="A14" s="23"/>
      <c r="B14" s="23"/>
      <c r="D14" s="23"/>
      <c r="F14" s="23"/>
      <c r="G14" s="23"/>
      <c r="I14" s="23"/>
      <c r="J14" s="23"/>
      <c r="K14" s="24"/>
      <c r="L14" s="24"/>
    </row>
    <row r="15">
      <c r="A15" s="23"/>
      <c r="B15" s="23"/>
      <c r="D15" s="23"/>
      <c r="F15" s="23"/>
      <c r="G15" s="23"/>
      <c r="I15" s="23"/>
      <c r="J15" s="23"/>
      <c r="K15" s="24"/>
      <c r="L15" s="24"/>
    </row>
    <row r="16">
      <c r="A16" s="23"/>
      <c r="B16" s="23"/>
      <c r="D16" s="23"/>
      <c r="F16" s="23"/>
      <c r="G16" s="23"/>
      <c r="I16" s="23"/>
      <c r="J16" s="23"/>
      <c r="K16" s="24"/>
      <c r="L16" s="24"/>
    </row>
    <row r="17">
      <c r="A17" s="23"/>
      <c r="B17" s="23"/>
      <c r="D17" s="23"/>
      <c r="F17" s="23"/>
      <c r="G17" s="23"/>
      <c r="I17" s="23"/>
      <c r="J17" s="23"/>
      <c r="K17" s="24"/>
      <c r="L17" s="24"/>
    </row>
    <row r="18">
      <c r="A18" s="23"/>
      <c r="B18" s="23"/>
      <c r="D18" s="23"/>
      <c r="F18" s="23"/>
      <c r="G18" s="23"/>
      <c r="I18" s="23"/>
      <c r="J18" s="23"/>
      <c r="K18" s="24"/>
      <c r="L18" s="24"/>
    </row>
    <row r="19">
      <c r="A19" s="23"/>
      <c r="B19" s="23"/>
      <c r="D19" s="23"/>
      <c r="F19" s="23"/>
      <c r="G19" s="23"/>
      <c r="I19" s="23"/>
      <c r="J19" s="23"/>
      <c r="K19" s="24"/>
      <c r="L19" s="24"/>
    </row>
    <row r="20">
      <c r="A20" s="23"/>
      <c r="B20" s="23"/>
      <c r="D20" s="23"/>
      <c r="F20" s="23"/>
      <c r="G20" s="23"/>
      <c r="I20" s="23"/>
      <c r="J20" s="23"/>
      <c r="K20" s="24"/>
      <c r="L20" s="24"/>
    </row>
    <row r="21" ht="15.75" customHeight="1">
      <c r="A21" s="23"/>
      <c r="B21" s="23"/>
      <c r="D21" s="23"/>
      <c r="F21" s="23"/>
      <c r="G21" s="23"/>
      <c r="I21" s="23"/>
      <c r="J21" s="23"/>
      <c r="K21" s="24"/>
      <c r="L21" s="24"/>
    </row>
    <row r="22" ht="15.75" customHeight="1">
      <c r="A22" s="23"/>
      <c r="B22" s="23"/>
      <c r="D22" s="23"/>
      <c r="F22" s="23"/>
      <c r="G22" s="23"/>
      <c r="I22" s="23"/>
      <c r="J22" s="23"/>
      <c r="K22" s="24"/>
      <c r="L22" s="24"/>
    </row>
    <row r="23" ht="15.75" customHeight="1">
      <c r="A23" s="23"/>
      <c r="B23" s="23"/>
      <c r="D23" s="23"/>
      <c r="F23" s="23"/>
      <c r="G23" s="23"/>
      <c r="I23" s="23"/>
      <c r="J23" s="23"/>
      <c r="K23" s="24"/>
      <c r="L23" s="24"/>
    </row>
    <row r="24" ht="15.75" customHeight="1">
      <c r="A24" s="23"/>
      <c r="B24" s="23"/>
      <c r="D24" s="23"/>
      <c r="F24" s="23"/>
      <c r="G24" s="23"/>
      <c r="I24" s="23"/>
      <c r="J24" s="23"/>
      <c r="K24" s="24"/>
      <c r="L24" s="24"/>
    </row>
    <row r="25" ht="15.75" customHeight="1">
      <c r="A25" s="23"/>
      <c r="B25" s="23"/>
      <c r="D25" s="23"/>
      <c r="F25" s="23"/>
      <c r="G25" s="23"/>
      <c r="I25" s="23"/>
      <c r="J25" s="23"/>
      <c r="K25" s="24"/>
      <c r="L25" s="24"/>
    </row>
    <row r="26" ht="15.75" customHeight="1">
      <c r="A26" s="23"/>
      <c r="B26" s="23"/>
      <c r="D26" s="23"/>
      <c r="F26" s="23"/>
      <c r="G26" s="23"/>
      <c r="I26" s="23"/>
      <c r="J26" s="23"/>
      <c r="K26" s="24"/>
      <c r="L26" s="24"/>
    </row>
    <row r="27" ht="15.75" customHeight="1">
      <c r="A27" s="23"/>
      <c r="B27" s="23"/>
      <c r="D27" s="23"/>
      <c r="F27" s="23"/>
      <c r="G27" s="23"/>
      <c r="I27" s="23"/>
      <c r="J27" s="23"/>
      <c r="K27" s="24"/>
      <c r="L27" s="24"/>
    </row>
    <row r="28" ht="15.75" customHeight="1">
      <c r="A28" s="23"/>
      <c r="B28" s="23"/>
      <c r="D28" s="23"/>
      <c r="F28" s="23"/>
      <c r="G28" s="23"/>
      <c r="I28" s="23"/>
      <c r="J28" s="23"/>
      <c r="K28" s="24"/>
      <c r="L28" s="24"/>
    </row>
    <row r="29" ht="15.75" customHeight="1">
      <c r="A29" s="23"/>
      <c r="B29" s="23"/>
      <c r="D29" s="23"/>
      <c r="F29" s="23"/>
      <c r="G29" s="23"/>
      <c r="I29" s="23"/>
      <c r="J29" s="23"/>
      <c r="K29" s="24"/>
      <c r="L29" s="24"/>
    </row>
    <row r="30" ht="15.75" customHeight="1">
      <c r="A30" s="23"/>
      <c r="B30" s="23"/>
      <c r="D30" s="23"/>
      <c r="F30" s="23"/>
      <c r="G30" s="23"/>
      <c r="I30" s="23"/>
      <c r="J30" s="23"/>
      <c r="K30" s="24"/>
      <c r="L30" s="24"/>
    </row>
    <row r="31" ht="15.75" customHeight="1">
      <c r="A31" s="23"/>
      <c r="B31" s="23"/>
      <c r="D31" s="23"/>
      <c r="F31" s="23"/>
      <c r="G31" s="23"/>
      <c r="I31" s="23"/>
      <c r="J31" s="23"/>
      <c r="K31" s="24"/>
      <c r="L31" s="24"/>
    </row>
    <row r="32" ht="15.75" customHeight="1">
      <c r="A32" s="23"/>
      <c r="B32" s="23"/>
      <c r="D32" s="23"/>
      <c r="F32" s="23"/>
      <c r="G32" s="23"/>
      <c r="I32" s="23"/>
      <c r="J32" s="23"/>
      <c r="K32" s="24"/>
      <c r="L32" s="24"/>
    </row>
    <row r="33" ht="15.75" customHeight="1">
      <c r="A33" s="23"/>
      <c r="B33" s="23"/>
      <c r="D33" s="23"/>
      <c r="F33" s="23"/>
      <c r="G33" s="23"/>
      <c r="I33" s="23"/>
      <c r="J33" s="23"/>
      <c r="K33" s="24"/>
      <c r="L33" s="24"/>
    </row>
    <row r="34" ht="15.75" customHeight="1">
      <c r="A34" s="23"/>
      <c r="B34" s="23"/>
      <c r="D34" s="23"/>
      <c r="F34" s="23"/>
      <c r="G34" s="23"/>
      <c r="I34" s="23"/>
      <c r="J34" s="23"/>
      <c r="K34" s="24"/>
      <c r="L34" s="24"/>
    </row>
    <row r="35" ht="15.75" customHeight="1">
      <c r="A35" s="23"/>
      <c r="B35" s="23"/>
      <c r="D35" s="23"/>
      <c r="F35" s="23"/>
      <c r="G35" s="23"/>
      <c r="I35" s="23"/>
      <c r="J35" s="23"/>
      <c r="K35" s="24"/>
      <c r="L35" s="24"/>
    </row>
    <row r="36" ht="15.75" customHeight="1">
      <c r="A36" s="23"/>
      <c r="B36" s="23"/>
      <c r="D36" s="23"/>
      <c r="F36" s="23"/>
      <c r="G36" s="23"/>
      <c r="I36" s="23"/>
      <c r="J36" s="23"/>
      <c r="K36" s="24"/>
      <c r="L36" s="24"/>
    </row>
    <row r="37" ht="15.75" customHeight="1">
      <c r="A37" s="23"/>
      <c r="B37" s="23"/>
      <c r="D37" s="23"/>
      <c r="F37" s="23"/>
      <c r="G37" s="23"/>
      <c r="I37" s="23"/>
      <c r="J37" s="23"/>
      <c r="K37" s="24"/>
      <c r="L37" s="24"/>
    </row>
    <row r="38" ht="15.75" customHeight="1">
      <c r="A38" s="23"/>
      <c r="B38" s="23"/>
      <c r="D38" s="23"/>
      <c r="F38" s="23"/>
      <c r="G38" s="23"/>
      <c r="I38" s="23"/>
      <c r="J38" s="23"/>
      <c r="K38" s="24"/>
      <c r="L38" s="24"/>
    </row>
    <row r="39" ht="15.75" customHeight="1">
      <c r="A39" s="23"/>
      <c r="B39" s="23"/>
      <c r="D39" s="23"/>
      <c r="F39" s="23"/>
      <c r="G39" s="23"/>
      <c r="I39" s="23"/>
      <c r="J39" s="23"/>
      <c r="K39" s="24"/>
      <c r="L39" s="24"/>
    </row>
    <row r="40" ht="15.75" customHeight="1">
      <c r="A40" s="23"/>
      <c r="B40" s="23"/>
      <c r="D40" s="23"/>
      <c r="F40" s="23"/>
      <c r="G40" s="23"/>
      <c r="I40" s="23"/>
      <c r="J40" s="23"/>
      <c r="K40" s="24"/>
      <c r="L40" s="24"/>
    </row>
    <row r="41" ht="15.75" customHeight="1">
      <c r="A41" s="23"/>
      <c r="B41" s="23"/>
      <c r="D41" s="23"/>
      <c r="F41" s="23"/>
      <c r="G41" s="23"/>
      <c r="I41" s="23"/>
      <c r="J41" s="23"/>
      <c r="K41" s="24"/>
      <c r="L41" s="24"/>
    </row>
    <row r="42" ht="15.75" customHeight="1">
      <c r="A42" s="23"/>
      <c r="B42" s="23"/>
      <c r="D42" s="23"/>
      <c r="F42" s="23"/>
      <c r="G42" s="23"/>
      <c r="I42" s="23"/>
      <c r="J42" s="23"/>
      <c r="K42" s="24"/>
      <c r="L42" s="24"/>
    </row>
    <row r="43" ht="15.75" customHeight="1">
      <c r="A43" s="23"/>
      <c r="B43" s="23"/>
      <c r="D43" s="23"/>
      <c r="F43" s="23"/>
      <c r="G43" s="23"/>
      <c r="I43" s="23"/>
      <c r="J43" s="23"/>
      <c r="K43" s="24"/>
      <c r="L43" s="24"/>
    </row>
    <row r="44" ht="15.75" customHeight="1">
      <c r="A44" s="23"/>
      <c r="B44" s="23"/>
      <c r="D44" s="23"/>
      <c r="F44" s="23"/>
      <c r="G44" s="23"/>
      <c r="I44" s="23"/>
      <c r="J44" s="23"/>
      <c r="K44" s="24"/>
      <c r="L44" s="24"/>
    </row>
    <row r="45" ht="15.75" customHeight="1">
      <c r="A45" s="23"/>
      <c r="B45" s="23"/>
      <c r="D45" s="23"/>
      <c r="F45" s="23"/>
      <c r="G45" s="23"/>
      <c r="I45" s="23"/>
      <c r="J45" s="23"/>
      <c r="K45" s="24"/>
      <c r="L45" s="24"/>
    </row>
    <row r="46" ht="15.75" customHeight="1">
      <c r="A46" s="23"/>
      <c r="B46" s="23"/>
      <c r="D46" s="23"/>
      <c r="F46" s="23"/>
      <c r="G46" s="23"/>
      <c r="I46" s="23"/>
      <c r="J46" s="23"/>
      <c r="K46" s="24"/>
      <c r="L46" s="24"/>
    </row>
    <row r="47" ht="15.75" customHeight="1">
      <c r="A47" s="23"/>
      <c r="B47" s="23"/>
      <c r="D47" s="23"/>
      <c r="F47" s="23"/>
      <c r="G47" s="23"/>
      <c r="I47" s="23"/>
      <c r="J47" s="23"/>
      <c r="K47" s="24"/>
      <c r="L47" s="24"/>
    </row>
    <row r="48" ht="15.75" customHeight="1">
      <c r="A48" s="23"/>
      <c r="B48" s="23"/>
      <c r="D48" s="23"/>
      <c r="F48" s="23"/>
      <c r="G48" s="23"/>
      <c r="I48" s="23"/>
      <c r="J48" s="23"/>
      <c r="K48" s="24"/>
      <c r="L48" s="24"/>
    </row>
    <row r="49" ht="15.75" customHeight="1">
      <c r="A49" s="23"/>
      <c r="B49" s="23"/>
      <c r="D49" s="23"/>
      <c r="F49" s="23"/>
      <c r="G49" s="23"/>
      <c r="I49" s="23"/>
      <c r="J49" s="23"/>
      <c r="K49" s="24"/>
      <c r="L49" s="24"/>
    </row>
    <row r="50" ht="15.75" customHeight="1">
      <c r="A50" s="23"/>
      <c r="B50" s="23"/>
      <c r="D50" s="23"/>
      <c r="F50" s="23"/>
      <c r="G50" s="23"/>
      <c r="I50" s="23"/>
      <c r="J50" s="23"/>
      <c r="K50" s="24"/>
      <c r="L50" s="24"/>
    </row>
    <row r="51" ht="15.75" customHeight="1">
      <c r="A51" s="23"/>
      <c r="B51" s="23"/>
      <c r="D51" s="23"/>
      <c r="F51" s="23"/>
      <c r="G51" s="23"/>
      <c r="I51" s="23"/>
      <c r="J51" s="23"/>
      <c r="K51" s="24"/>
      <c r="L51" s="24"/>
    </row>
    <row r="52" ht="15.75" customHeight="1">
      <c r="A52" s="23"/>
      <c r="B52" s="23"/>
      <c r="D52" s="23"/>
      <c r="F52" s="23"/>
      <c r="G52" s="23"/>
      <c r="I52" s="23"/>
      <c r="J52" s="23"/>
      <c r="K52" s="24"/>
      <c r="L52" s="24"/>
    </row>
    <row r="53" ht="15.75" customHeight="1">
      <c r="A53" s="23"/>
      <c r="B53" s="23"/>
      <c r="D53" s="23"/>
      <c r="F53" s="23"/>
      <c r="G53" s="23"/>
      <c r="I53" s="23"/>
      <c r="J53" s="23"/>
      <c r="K53" s="24"/>
      <c r="L53" s="24"/>
    </row>
    <row r="54" ht="15.75" customHeight="1">
      <c r="A54" s="23"/>
      <c r="B54" s="23"/>
      <c r="D54" s="23"/>
      <c r="F54" s="23"/>
      <c r="G54" s="23"/>
      <c r="I54" s="23"/>
      <c r="J54" s="23"/>
      <c r="K54" s="24"/>
      <c r="L54" s="24"/>
    </row>
    <row r="55" ht="15.75" customHeight="1">
      <c r="A55" s="23"/>
      <c r="B55" s="23"/>
      <c r="D55" s="23"/>
      <c r="F55" s="23"/>
      <c r="G55" s="23"/>
      <c r="I55" s="23"/>
      <c r="J55" s="23"/>
      <c r="K55" s="24"/>
      <c r="L55" s="24"/>
    </row>
    <row r="56" ht="15.75" customHeight="1">
      <c r="A56" s="23"/>
      <c r="B56" s="23"/>
      <c r="D56" s="23"/>
      <c r="F56" s="23"/>
      <c r="G56" s="23"/>
      <c r="I56" s="23"/>
      <c r="J56" s="23"/>
      <c r="K56" s="24"/>
      <c r="L56" s="24"/>
    </row>
    <row r="57" ht="15.75" customHeight="1">
      <c r="A57" s="23"/>
      <c r="B57" s="23"/>
      <c r="D57" s="23"/>
      <c r="F57" s="23"/>
      <c r="G57" s="23"/>
      <c r="I57" s="23"/>
      <c r="J57" s="23"/>
      <c r="K57" s="24"/>
      <c r="L57" s="24"/>
    </row>
    <row r="58" ht="15.75" customHeight="1">
      <c r="A58" s="23"/>
      <c r="B58" s="23"/>
      <c r="D58" s="23"/>
      <c r="F58" s="23"/>
      <c r="G58" s="23"/>
      <c r="I58" s="23"/>
      <c r="J58" s="23"/>
      <c r="K58" s="24"/>
      <c r="L58" s="24"/>
    </row>
    <row r="59" ht="15.75" customHeight="1">
      <c r="A59" s="23"/>
      <c r="B59" s="23"/>
      <c r="D59" s="23"/>
      <c r="F59" s="23"/>
      <c r="G59" s="23"/>
      <c r="I59" s="23"/>
      <c r="J59" s="23"/>
      <c r="K59" s="24"/>
      <c r="L59" s="24"/>
    </row>
    <row r="60" ht="15.75" customHeight="1">
      <c r="A60" s="23"/>
      <c r="B60" s="23"/>
      <c r="D60" s="23"/>
      <c r="F60" s="23"/>
      <c r="G60" s="23"/>
      <c r="I60" s="23"/>
      <c r="J60" s="23"/>
      <c r="K60" s="24"/>
      <c r="L60" s="24"/>
    </row>
    <row r="61" ht="15.75" customHeight="1">
      <c r="A61" s="23"/>
      <c r="B61" s="23"/>
      <c r="D61" s="23"/>
      <c r="F61" s="23"/>
      <c r="G61" s="23"/>
      <c r="I61" s="23"/>
      <c r="J61" s="23"/>
      <c r="K61" s="24"/>
      <c r="L61" s="24"/>
    </row>
    <row r="62" ht="15.75" customHeight="1">
      <c r="A62" s="23"/>
      <c r="B62" s="23"/>
      <c r="D62" s="23"/>
      <c r="F62" s="23"/>
      <c r="G62" s="23"/>
      <c r="I62" s="23"/>
      <c r="J62" s="23"/>
      <c r="K62" s="24"/>
      <c r="L62" s="24"/>
    </row>
    <row r="63" ht="15.75" customHeight="1">
      <c r="A63" s="23"/>
      <c r="B63" s="23"/>
      <c r="D63" s="23"/>
      <c r="F63" s="23"/>
      <c r="G63" s="23"/>
      <c r="I63" s="23"/>
      <c r="J63" s="23"/>
      <c r="K63" s="24"/>
      <c r="L63" s="24"/>
    </row>
    <row r="64" ht="15.75" customHeight="1">
      <c r="A64" s="23"/>
      <c r="B64" s="23"/>
      <c r="D64" s="23"/>
      <c r="F64" s="23"/>
      <c r="G64" s="23"/>
      <c r="I64" s="23"/>
      <c r="J64" s="23"/>
      <c r="K64" s="24"/>
      <c r="L64" s="24"/>
    </row>
    <row r="65" ht="15.75" customHeight="1">
      <c r="A65" s="23"/>
      <c r="B65" s="23"/>
      <c r="D65" s="23"/>
      <c r="F65" s="23"/>
      <c r="G65" s="23"/>
      <c r="I65" s="23"/>
      <c r="J65" s="23"/>
      <c r="K65" s="24"/>
      <c r="L65" s="24"/>
    </row>
    <row r="66" ht="15.75" customHeight="1">
      <c r="A66" s="23"/>
      <c r="B66" s="23"/>
      <c r="D66" s="23"/>
      <c r="F66" s="23"/>
      <c r="G66" s="23"/>
      <c r="I66" s="23"/>
      <c r="J66" s="23"/>
      <c r="K66" s="24"/>
      <c r="L66" s="24"/>
    </row>
    <row r="67" ht="15.75" customHeight="1">
      <c r="A67" s="23"/>
      <c r="B67" s="23"/>
      <c r="D67" s="23"/>
      <c r="F67" s="23"/>
      <c r="G67" s="23"/>
      <c r="I67" s="23"/>
      <c r="J67" s="23"/>
      <c r="K67" s="24"/>
      <c r="L67" s="24"/>
    </row>
    <row r="68" ht="15.75" customHeight="1">
      <c r="A68" s="23"/>
      <c r="B68" s="23"/>
      <c r="D68" s="23"/>
      <c r="F68" s="23"/>
      <c r="G68" s="23"/>
      <c r="I68" s="23"/>
      <c r="J68" s="23"/>
      <c r="K68" s="24"/>
      <c r="L68" s="24"/>
    </row>
    <row r="69" ht="15.75" customHeight="1">
      <c r="A69" s="23"/>
      <c r="B69" s="23"/>
      <c r="D69" s="23"/>
      <c r="F69" s="23"/>
      <c r="G69" s="23"/>
      <c r="I69" s="23"/>
      <c r="J69" s="23"/>
      <c r="K69" s="24"/>
      <c r="L69" s="24"/>
    </row>
    <row r="70" ht="15.75" customHeight="1">
      <c r="A70" s="23"/>
      <c r="B70" s="23"/>
      <c r="D70" s="23"/>
      <c r="F70" s="23"/>
      <c r="G70" s="23"/>
      <c r="I70" s="23"/>
      <c r="J70" s="23"/>
      <c r="K70" s="24"/>
      <c r="L70" s="24"/>
    </row>
    <row r="71" ht="15.75" customHeight="1">
      <c r="A71" s="23"/>
      <c r="B71" s="23"/>
      <c r="D71" s="23"/>
      <c r="F71" s="23"/>
      <c r="G71" s="23"/>
      <c r="I71" s="23"/>
      <c r="J71" s="23"/>
      <c r="K71" s="24"/>
      <c r="L71" s="24"/>
    </row>
    <row r="72" ht="15.75" customHeight="1">
      <c r="A72" s="23"/>
      <c r="B72" s="23"/>
      <c r="D72" s="23"/>
      <c r="F72" s="23"/>
      <c r="G72" s="23"/>
      <c r="I72" s="23"/>
      <c r="J72" s="23"/>
      <c r="K72" s="24"/>
      <c r="L72" s="24"/>
    </row>
    <row r="73" ht="15.75" customHeight="1">
      <c r="A73" s="23"/>
      <c r="B73" s="23"/>
      <c r="D73" s="23"/>
      <c r="F73" s="23"/>
      <c r="G73" s="23"/>
      <c r="I73" s="23"/>
      <c r="J73" s="23"/>
      <c r="K73" s="24"/>
      <c r="L73" s="24"/>
    </row>
    <row r="74" ht="15.75" customHeight="1">
      <c r="A74" s="23"/>
      <c r="B74" s="23"/>
      <c r="D74" s="23"/>
      <c r="F74" s="23"/>
      <c r="G74" s="23"/>
      <c r="I74" s="23"/>
      <c r="J74" s="23"/>
      <c r="K74" s="24"/>
      <c r="L74" s="24"/>
    </row>
    <row r="75" ht="15.75" customHeight="1">
      <c r="A75" s="23"/>
      <c r="B75" s="23"/>
      <c r="D75" s="23"/>
      <c r="F75" s="23"/>
      <c r="G75" s="23"/>
      <c r="I75" s="23"/>
      <c r="J75" s="23"/>
      <c r="K75" s="24"/>
      <c r="L75" s="24"/>
    </row>
    <row r="76" ht="15.75" customHeight="1">
      <c r="A76" s="23"/>
      <c r="B76" s="23"/>
      <c r="D76" s="23"/>
      <c r="F76" s="23"/>
      <c r="G76" s="23"/>
      <c r="I76" s="23"/>
      <c r="J76" s="23"/>
      <c r="K76" s="24"/>
      <c r="L76" s="24"/>
    </row>
    <row r="77" ht="15.75" customHeight="1">
      <c r="A77" s="23"/>
      <c r="B77" s="23"/>
      <c r="D77" s="23"/>
      <c r="F77" s="23"/>
      <c r="G77" s="23"/>
      <c r="I77" s="23"/>
      <c r="J77" s="23"/>
      <c r="K77" s="24"/>
      <c r="L77" s="24"/>
    </row>
    <row r="78" ht="15.75" customHeight="1">
      <c r="A78" s="23"/>
      <c r="B78" s="23"/>
      <c r="D78" s="23"/>
      <c r="F78" s="23"/>
      <c r="G78" s="23"/>
      <c r="I78" s="23"/>
      <c r="J78" s="23"/>
      <c r="K78" s="24"/>
      <c r="L78" s="24"/>
    </row>
    <row r="79" ht="15.75" customHeight="1">
      <c r="A79" s="23"/>
      <c r="B79" s="23"/>
      <c r="D79" s="23"/>
      <c r="F79" s="23"/>
      <c r="G79" s="23"/>
      <c r="I79" s="23"/>
      <c r="J79" s="23"/>
      <c r="K79" s="24"/>
      <c r="L79" s="24"/>
    </row>
    <row r="80" ht="15.75" customHeight="1">
      <c r="A80" s="23"/>
      <c r="B80" s="23"/>
      <c r="D80" s="23"/>
      <c r="F80" s="23"/>
      <c r="G80" s="23"/>
      <c r="I80" s="23"/>
      <c r="J80" s="23"/>
      <c r="K80" s="24"/>
      <c r="L80" s="24"/>
    </row>
    <row r="81" ht="15.75" customHeight="1">
      <c r="A81" s="23"/>
      <c r="B81" s="23"/>
      <c r="D81" s="23"/>
      <c r="F81" s="23"/>
      <c r="G81" s="23"/>
      <c r="I81" s="23"/>
      <c r="J81" s="23"/>
      <c r="K81" s="24"/>
      <c r="L81" s="24"/>
    </row>
    <row r="82" ht="15.75" customHeight="1">
      <c r="A82" s="23"/>
      <c r="B82" s="23"/>
      <c r="D82" s="23"/>
      <c r="F82" s="23"/>
      <c r="G82" s="23"/>
      <c r="I82" s="23"/>
      <c r="J82" s="23"/>
      <c r="K82" s="24"/>
      <c r="L82" s="24"/>
    </row>
    <row r="83" ht="15.75" customHeight="1">
      <c r="A83" s="23"/>
      <c r="B83" s="23"/>
      <c r="D83" s="23"/>
      <c r="F83" s="23"/>
      <c r="G83" s="23"/>
      <c r="I83" s="23"/>
      <c r="J83" s="23"/>
      <c r="K83" s="24"/>
      <c r="L83" s="24"/>
    </row>
    <row r="84" ht="15.75" customHeight="1">
      <c r="A84" s="23"/>
      <c r="B84" s="23"/>
      <c r="D84" s="23"/>
      <c r="F84" s="23"/>
      <c r="G84" s="23"/>
      <c r="I84" s="23"/>
      <c r="J84" s="23"/>
      <c r="K84" s="24"/>
      <c r="L84" s="24"/>
    </row>
    <row r="85" ht="15.75" customHeight="1">
      <c r="A85" s="23"/>
      <c r="B85" s="23"/>
      <c r="D85" s="23"/>
      <c r="F85" s="23"/>
      <c r="G85" s="23"/>
      <c r="I85" s="23"/>
      <c r="J85" s="23"/>
      <c r="K85" s="24"/>
      <c r="L85" s="24"/>
    </row>
    <row r="86" ht="15.75" customHeight="1">
      <c r="A86" s="23"/>
      <c r="B86" s="23"/>
      <c r="D86" s="23"/>
      <c r="F86" s="23"/>
      <c r="G86" s="23"/>
      <c r="I86" s="23"/>
      <c r="J86" s="23"/>
      <c r="K86" s="24"/>
      <c r="L86" s="24"/>
    </row>
    <row r="87" ht="15.75" customHeight="1">
      <c r="A87" s="23"/>
      <c r="B87" s="23"/>
      <c r="D87" s="23"/>
      <c r="F87" s="23"/>
      <c r="G87" s="23"/>
      <c r="I87" s="23"/>
      <c r="J87" s="23"/>
      <c r="K87" s="24"/>
      <c r="L87" s="24"/>
    </row>
    <row r="88" ht="15.75" customHeight="1">
      <c r="A88" s="23"/>
      <c r="B88" s="23"/>
      <c r="D88" s="23"/>
      <c r="F88" s="23"/>
      <c r="G88" s="23"/>
      <c r="I88" s="23"/>
      <c r="J88" s="23"/>
      <c r="K88" s="24"/>
      <c r="L88" s="24"/>
    </row>
    <row r="89" ht="15.75" customHeight="1">
      <c r="A89" s="23"/>
      <c r="B89" s="23"/>
      <c r="D89" s="23"/>
      <c r="F89" s="23"/>
      <c r="G89" s="23"/>
      <c r="I89" s="23"/>
      <c r="J89" s="23"/>
      <c r="K89" s="24"/>
      <c r="L89" s="24"/>
    </row>
    <row r="90" ht="15.75" customHeight="1">
      <c r="A90" s="23"/>
      <c r="B90" s="23"/>
      <c r="D90" s="23"/>
      <c r="F90" s="23"/>
      <c r="G90" s="23"/>
      <c r="I90" s="23"/>
      <c r="J90" s="23"/>
      <c r="K90" s="24"/>
      <c r="L90" s="24"/>
    </row>
    <row r="91" ht="15.75" customHeight="1">
      <c r="A91" s="23"/>
      <c r="B91" s="23"/>
      <c r="D91" s="23"/>
      <c r="F91" s="23"/>
      <c r="G91" s="23"/>
      <c r="I91" s="23"/>
      <c r="J91" s="23"/>
      <c r="K91" s="24"/>
      <c r="L91" s="24"/>
    </row>
    <row r="92" ht="15.75" customHeight="1">
      <c r="A92" s="23"/>
      <c r="B92" s="23"/>
      <c r="D92" s="23"/>
      <c r="F92" s="23"/>
      <c r="G92" s="23"/>
      <c r="I92" s="23"/>
      <c r="J92" s="23"/>
      <c r="K92" s="24"/>
      <c r="L92" s="24"/>
    </row>
    <row r="93" ht="15.75" customHeight="1">
      <c r="A93" s="23"/>
      <c r="B93" s="23"/>
      <c r="D93" s="23"/>
      <c r="F93" s="23"/>
      <c r="G93" s="23"/>
      <c r="I93" s="23"/>
      <c r="J93" s="23"/>
      <c r="K93" s="24"/>
      <c r="L93" s="24"/>
    </row>
    <row r="94" ht="15.75" customHeight="1">
      <c r="A94" s="23"/>
      <c r="B94" s="23"/>
      <c r="D94" s="23"/>
      <c r="F94" s="23"/>
      <c r="G94" s="23"/>
      <c r="I94" s="23"/>
      <c r="J94" s="23"/>
      <c r="K94" s="24"/>
      <c r="L94" s="24"/>
    </row>
    <row r="95" ht="15.75" customHeight="1">
      <c r="A95" s="23"/>
      <c r="B95" s="23"/>
      <c r="D95" s="23"/>
      <c r="F95" s="23"/>
      <c r="G95" s="23"/>
      <c r="I95" s="23"/>
      <c r="J95" s="23"/>
      <c r="K95" s="24"/>
      <c r="L95" s="24"/>
    </row>
    <row r="96" ht="15.75" customHeight="1">
      <c r="A96" s="23"/>
      <c r="B96" s="23"/>
      <c r="D96" s="23"/>
      <c r="F96" s="23"/>
      <c r="G96" s="23"/>
      <c r="I96" s="23"/>
      <c r="J96" s="23"/>
      <c r="K96" s="24"/>
      <c r="L96" s="24"/>
    </row>
    <row r="97" ht="15.75" customHeight="1">
      <c r="A97" s="23"/>
      <c r="B97" s="23"/>
      <c r="D97" s="23"/>
      <c r="F97" s="23"/>
      <c r="G97" s="23"/>
      <c r="I97" s="23"/>
      <c r="J97" s="23"/>
      <c r="K97" s="24"/>
      <c r="L97" s="24"/>
    </row>
    <row r="98" ht="15.75" customHeight="1">
      <c r="A98" s="23"/>
      <c r="B98" s="23"/>
      <c r="D98" s="23"/>
      <c r="F98" s="23"/>
      <c r="G98" s="23"/>
      <c r="I98" s="23"/>
      <c r="J98" s="23"/>
      <c r="K98" s="24"/>
      <c r="L98" s="24"/>
    </row>
    <row r="99" ht="15.75" customHeight="1">
      <c r="A99" s="23"/>
      <c r="B99" s="23"/>
      <c r="D99" s="23"/>
      <c r="F99" s="23"/>
      <c r="G99" s="23"/>
      <c r="I99" s="23"/>
      <c r="J99" s="23"/>
      <c r="K99" s="24"/>
      <c r="L99" s="24"/>
    </row>
    <row r="100" ht="15.75" customHeight="1">
      <c r="A100" s="23"/>
      <c r="B100" s="23"/>
      <c r="D100" s="23"/>
      <c r="F100" s="23"/>
      <c r="G100" s="23"/>
      <c r="I100" s="23"/>
      <c r="J100" s="23"/>
      <c r="K100" s="24"/>
      <c r="L100" s="24"/>
    </row>
    <row r="101" ht="15.75" customHeight="1">
      <c r="A101" s="23"/>
      <c r="B101" s="23"/>
      <c r="D101" s="23"/>
      <c r="F101" s="23"/>
      <c r="G101" s="23"/>
      <c r="I101" s="23"/>
      <c r="J101" s="23"/>
      <c r="K101" s="24"/>
      <c r="L101" s="24"/>
    </row>
    <row r="102" ht="15.75" customHeight="1">
      <c r="A102" s="23"/>
      <c r="B102" s="23"/>
      <c r="D102" s="23"/>
      <c r="F102" s="23"/>
      <c r="G102" s="23"/>
      <c r="I102" s="23"/>
      <c r="J102" s="23"/>
      <c r="K102" s="24"/>
      <c r="L102" s="24"/>
    </row>
    <row r="103" ht="15.75" customHeight="1">
      <c r="A103" s="23"/>
      <c r="B103" s="23"/>
      <c r="D103" s="23"/>
      <c r="F103" s="23"/>
      <c r="G103" s="23"/>
      <c r="I103" s="23"/>
      <c r="J103" s="23"/>
      <c r="K103" s="24"/>
      <c r="L103" s="24"/>
    </row>
    <row r="104" ht="15.75" customHeight="1">
      <c r="A104" s="23"/>
      <c r="B104" s="23"/>
      <c r="D104" s="23"/>
      <c r="F104" s="23"/>
      <c r="G104" s="23"/>
      <c r="I104" s="23"/>
      <c r="J104" s="23"/>
      <c r="K104" s="24"/>
      <c r="L104" s="24"/>
    </row>
    <row r="105" ht="15.75" customHeight="1">
      <c r="A105" s="23"/>
      <c r="B105" s="23"/>
      <c r="D105" s="23"/>
      <c r="F105" s="23"/>
      <c r="G105" s="23"/>
      <c r="I105" s="23"/>
      <c r="J105" s="23"/>
      <c r="K105" s="24"/>
      <c r="L105" s="24"/>
    </row>
    <row r="106" ht="15.75" customHeight="1">
      <c r="A106" s="23"/>
      <c r="B106" s="23"/>
      <c r="D106" s="23"/>
      <c r="F106" s="23"/>
      <c r="G106" s="23"/>
      <c r="I106" s="23"/>
      <c r="J106" s="23"/>
      <c r="K106" s="24"/>
      <c r="L106" s="24"/>
    </row>
    <row r="107" ht="15.75" customHeight="1">
      <c r="A107" s="23"/>
      <c r="B107" s="23"/>
      <c r="D107" s="23"/>
      <c r="F107" s="23"/>
      <c r="G107" s="23"/>
      <c r="I107" s="23"/>
      <c r="J107" s="23"/>
      <c r="K107" s="24"/>
      <c r="L107" s="24"/>
    </row>
    <row r="108" ht="15.75" customHeight="1">
      <c r="A108" s="23"/>
      <c r="B108" s="23"/>
      <c r="D108" s="23"/>
      <c r="F108" s="23"/>
      <c r="G108" s="23"/>
      <c r="I108" s="23"/>
      <c r="J108" s="23"/>
      <c r="K108" s="24"/>
      <c r="L108" s="24"/>
    </row>
    <row r="109" ht="15.75" customHeight="1">
      <c r="A109" s="23"/>
      <c r="B109" s="23"/>
      <c r="D109" s="23"/>
      <c r="F109" s="23"/>
      <c r="G109" s="23"/>
      <c r="I109" s="23"/>
      <c r="J109" s="23"/>
      <c r="K109" s="24"/>
      <c r="L109" s="24"/>
    </row>
    <row r="110" ht="15.75" customHeight="1">
      <c r="A110" s="23"/>
      <c r="B110" s="23"/>
      <c r="D110" s="23"/>
      <c r="F110" s="23"/>
      <c r="G110" s="23"/>
      <c r="I110" s="23"/>
      <c r="J110" s="23"/>
      <c r="K110" s="24"/>
      <c r="L110" s="24"/>
    </row>
    <row r="111" ht="15.75" customHeight="1">
      <c r="A111" s="23"/>
      <c r="B111" s="23"/>
      <c r="D111" s="23"/>
      <c r="F111" s="23"/>
      <c r="G111" s="23"/>
      <c r="I111" s="23"/>
      <c r="J111" s="23"/>
      <c r="K111" s="24"/>
      <c r="L111" s="24"/>
    </row>
    <row r="112" ht="15.75" customHeight="1">
      <c r="A112" s="23"/>
      <c r="B112" s="23"/>
      <c r="D112" s="23"/>
      <c r="F112" s="23"/>
      <c r="G112" s="23"/>
      <c r="I112" s="23"/>
      <c r="J112" s="23"/>
      <c r="K112" s="24"/>
      <c r="L112" s="24"/>
    </row>
    <row r="113" ht="15.75" customHeight="1">
      <c r="A113" s="23"/>
      <c r="B113" s="23"/>
      <c r="D113" s="23"/>
      <c r="F113" s="23"/>
      <c r="G113" s="23"/>
      <c r="I113" s="23"/>
      <c r="J113" s="23"/>
      <c r="K113" s="24"/>
      <c r="L113" s="24"/>
    </row>
    <row r="114" ht="15.75" customHeight="1">
      <c r="A114" s="23"/>
      <c r="B114" s="23"/>
      <c r="D114" s="23"/>
      <c r="F114" s="23"/>
      <c r="G114" s="23"/>
      <c r="I114" s="23"/>
      <c r="J114" s="23"/>
      <c r="K114" s="24"/>
      <c r="L114" s="24"/>
    </row>
    <row r="115" ht="15.75" customHeight="1">
      <c r="A115" s="23"/>
      <c r="B115" s="23"/>
      <c r="D115" s="23"/>
      <c r="F115" s="23"/>
      <c r="G115" s="23"/>
      <c r="I115" s="23"/>
      <c r="J115" s="23"/>
      <c r="K115" s="24"/>
      <c r="L115" s="24"/>
    </row>
    <row r="116" ht="15.75" customHeight="1">
      <c r="A116" s="23"/>
      <c r="B116" s="23"/>
      <c r="D116" s="23"/>
      <c r="F116" s="23"/>
      <c r="G116" s="23"/>
      <c r="I116" s="23"/>
      <c r="J116" s="23"/>
      <c r="K116" s="24"/>
      <c r="L116" s="24"/>
    </row>
    <row r="117" ht="15.75" customHeight="1">
      <c r="A117" s="23"/>
      <c r="B117" s="23"/>
      <c r="D117" s="23"/>
      <c r="F117" s="23"/>
      <c r="G117" s="23"/>
      <c r="I117" s="23"/>
      <c r="J117" s="23"/>
      <c r="K117" s="24"/>
      <c r="L117" s="24"/>
    </row>
    <row r="118" ht="15.75" customHeight="1">
      <c r="A118" s="23"/>
      <c r="B118" s="23"/>
      <c r="D118" s="23"/>
      <c r="F118" s="23"/>
      <c r="G118" s="23"/>
      <c r="I118" s="23"/>
      <c r="J118" s="23"/>
      <c r="K118" s="24"/>
      <c r="L118" s="24"/>
    </row>
    <row r="119" ht="15.75" customHeight="1">
      <c r="A119" s="23"/>
      <c r="B119" s="23"/>
      <c r="D119" s="23"/>
      <c r="F119" s="23"/>
      <c r="G119" s="23"/>
      <c r="I119" s="23"/>
      <c r="J119" s="23"/>
      <c r="K119" s="24"/>
      <c r="L119" s="24"/>
    </row>
    <row r="120" ht="15.75" customHeight="1">
      <c r="A120" s="23"/>
      <c r="B120" s="23"/>
      <c r="D120" s="23"/>
      <c r="F120" s="23"/>
      <c r="G120" s="23"/>
      <c r="I120" s="23"/>
      <c r="J120" s="23"/>
      <c r="K120" s="24"/>
      <c r="L120" s="24"/>
    </row>
    <row r="121" ht="15.75" customHeight="1">
      <c r="A121" s="23"/>
      <c r="B121" s="23"/>
      <c r="D121" s="23"/>
      <c r="F121" s="23"/>
      <c r="G121" s="23"/>
      <c r="I121" s="23"/>
      <c r="J121" s="23"/>
      <c r="K121" s="24"/>
      <c r="L121" s="24"/>
    </row>
    <row r="122" ht="15.75" customHeight="1">
      <c r="A122" s="23"/>
      <c r="B122" s="23"/>
      <c r="D122" s="23"/>
      <c r="F122" s="23"/>
      <c r="G122" s="23"/>
      <c r="I122" s="23"/>
      <c r="J122" s="23"/>
      <c r="K122" s="24"/>
      <c r="L122" s="24"/>
    </row>
    <row r="123" ht="15.75" customHeight="1">
      <c r="A123" s="23"/>
      <c r="B123" s="23"/>
      <c r="D123" s="23"/>
      <c r="F123" s="23"/>
      <c r="G123" s="23"/>
      <c r="I123" s="23"/>
      <c r="J123" s="23"/>
      <c r="K123" s="24"/>
      <c r="L123" s="24"/>
    </row>
    <row r="124" ht="15.75" customHeight="1">
      <c r="A124" s="23"/>
      <c r="B124" s="23"/>
      <c r="D124" s="23"/>
      <c r="F124" s="23"/>
      <c r="G124" s="23"/>
      <c r="I124" s="23"/>
      <c r="J124" s="23"/>
      <c r="K124" s="24"/>
      <c r="L124" s="24"/>
    </row>
    <row r="125" ht="15.75" customHeight="1">
      <c r="A125" s="23"/>
      <c r="B125" s="23"/>
      <c r="D125" s="23"/>
      <c r="F125" s="23"/>
      <c r="G125" s="23"/>
      <c r="I125" s="23"/>
      <c r="J125" s="23"/>
      <c r="K125" s="24"/>
      <c r="L125" s="24"/>
    </row>
    <row r="126" ht="15.75" customHeight="1">
      <c r="A126" s="23"/>
      <c r="B126" s="23"/>
      <c r="D126" s="23"/>
      <c r="F126" s="23"/>
      <c r="G126" s="23"/>
      <c r="I126" s="23"/>
      <c r="J126" s="23"/>
      <c r="K126" s="24"/>
      <c r="L126" s="24"/>
    </row>
    <row r="127" ht="15.75" customHeight="1">
      <c r="A127" s="23"/>
      <c r="B127" s="23"/>
      <c r="D127" s="23"/>
      <c r="F127" s="23"/>
      <c r="G127" s="23"/>
      <c r="I127" s="23"/>
      <c r="J127" s="23"/>
      <c r="K127" s="24"/>
      <c r="L127" s="24"/>
    </row>
    <row r="128" ht="15.75" customHeight="1">
      <c r="A128" s="23"/>
      <c r="B128" s="23"/>
      <c r="D128" s="23"/>
      <c r="F128" s="23"/>
      <c r="G128" s="23"/>
      <c r="I128" s="23"/>
      <c r="J128" s="23"/>
      <c r="K128" s="24"/>
      <c r="L128" s="24"/>
    </row>
    <row r="129" ht="15.75" customHeight="1">
      <c r="A129" s="23"/>
      <c r="B129" s="23"/>
      <c r="D129" s="23"/>
      <c r="F129" s="23"/>
      <c r="G129" s="23"/>
      <c r="I129" s="23"/>
      <c r="J129" s="23"/>
      <c r="K129" s="24"/>
      <c r="L129" s="24"/>
    </row>
    <row r="130" ht="15.75" customHeight="1">
      <c r="A130" s="23"/>
      <c r="B130" s="23"/>
      <c r="D130" s="23"/>
      <c r="F130" s="23"/>
      <c r="G130" s="23"/>
      <c r="I130" s="23"/>
      <c r="J130" s="23"/>
      <c r="K130" s="24"/>
      <c r="L130" s="24"/>
    </row>
    <row r="131" ht="15.75" customHeight="1">
      <c r="A131" s="23"/>
      <c r="B131" s="23"/>
      <c r="D131" s="23"/>
      <c r="F131" s="23"/>
      <c r="G131" s="23"/>
      <c r="I131" s="23"/>
      <c r="J131" s="23"/>
      <c r="K131" s="24"/>
      <c r="L131" s="24"/>
    </row>
    <row r="132" ht="15.75" customHeight="1">
      <c r="A132" s="23"/>
      <c r="B132" s="23"/>
      <c r="D132" s="23"/>
      <c r="F132" s="23"/>
      <c r="G132" s="23"/>
      <c r="I132" s="23"/>
      <c r="J132" s="23"/>
      <c r="K132" s="24"/>
      <c r="L132" s="24"/>
    </row>
    <row r="133" ht="15.75" customHeight="1">
      <c r="A133" s="23"/>
      <c r="B133" s="23"/>
      <c r="D133" s="23"/>
      <c r="F133" s="23"/>
      <c r="G133" s="23"/>
      <c r="I133" s="23"/>
      <c r="J133" s="23"/>
      <c r="K133" s="24"/>
      <c r="L133" s="24"/>
    </row>
    <row r="134" ht="15.75" customHeight="1">
      <c r="A134" s="23"/>
      <c r="B134" s="23"/>
      <c r="D134" s="23"/>
      <c r="F134" s="23"/>
      <c r="G134" s="23"/>
      <c r="I134" s="23"/>
      <c r="J134" s="23"/>
      <c r="K134" s="24"/>
      <c r="L134" s="24"/>
    </row>
    <row r="135" ht="15.75" customHeight="1">
      <c r="A135" s="23"/>
      <c r="B135" s="23"/>
      <c r="D135" s="23"/>
      <c r="F135" s="23"/>
      <c r="G135" s="23"/>
      <c r="I135" s="23"/>
      <c r="J135" s="23"/>
      <c r="K135" s="24"/>
      <c r="L135" s="24"/>
    </row>
    <row r="136" ht="15.75" customHeight="1">
      <c r="A136" s="23"/>
      <c r="B136" s="23"/>
      <c r="D136" s="23"/>
      <c r="F136" s="23"/>
      <c r="G136" s="23"/>
      <c r="I136" s="23"/>
      <c r="J136" s="23"/>
      <c r="K136" s="24"/>
      <c r="L136" s="24"/>
    </row>
    <row r="137" ht="15.75" customHeight="1">
      <c r="A137" s="23"/>
      <c r="B137" s="23"/>
      <c r="D137" s="23"/>
      <c r="F137" s="23"/>
      <c r="G137" s="23"/>
      <c r="I137" s="23"/>
      <c r="J137" s="23"/>
      <c r="K137" s="24"/>
      <c r="L137" s="24"/>
    </row>
    <row r="138" ht="15.75" customHeight="1">
      <c r="A138" s="23"/>
      <c r="B138" s="23"/>
      <c r="D138" s="23"/>
      <c r="F138" s="23"/>
      <c r="G138" s="23"/>
      <c r="I138" s="23"/>
      <c r="J138" s="23"/>
      <c r="K138" s="24"/>
      <c r="L138" s="24"/>
    </row>
    <row r="139" ht="15.75" customHeight="1">
      <c r="A139" s="23"/>
      <c r="B139" s="23"/>
      <c r="D139" s="23"/>
      <c r="F139" s="23"/>
      <c r="G139" s="23"/>
      <c r="I139" s="23"/>
      <c r="J139" s="23"/>
      <c r="K139" s="24"/>
      <c r="L139" s="24"/>
    </row>
    <row r="140" ht="15.75" customHeight="1">
      <c r="A140" s="23"/>
      <c r="B140" s="23"/>
      <c r="D140" s="23"/>
      <c r="F140" s="23"/>
      <c r="G140" s="23"/>
      <c r="I140" s="23"/>
      <c r="J140" s="23"/>
      <c r="K140" s="24"/>
      <c r="L140" s="24"/>
    </row>
    <row r="141" ht="15.75" customHeight="1">
      <c r="A141" s="23"/>
      <c r="B141" s="23"/>
      <c r="D141" s="23"/>
      <c r="F141" s="23"/>
      <c r="G141" s="23"/>
      <c r="I141" s="23"/>
      <c r="J141" s="23"/>
      <c r="K141" s="24"/>
      <c r="L141" s="24"/>
    </row>
    <row r="142" ht="15.75" customHeight="1">
      <c r="A142" s="23"/>
      <c r="B142" s="23"/>
      <c r="D142" s="23"/>
      <c r="F142" s="23"/>
      <c r="G142" s="23"/>
      <c r="I142" s="23"/>
      <c r="J142" s="23"/>
      <c r="K142" s="24"/>
      <c r="L142" s="24"/>
    </row>
    <row r="143" ht="15.75" customHeight="1">
      <c r="A143" s="23"/>
      <c r="B143" s="23"/>
      <c r="D143" s="23"/>
      <c r="F143" s="23"/>
      <c r="G143" s="23"/>
      <c r="I143" s="23"/>
      <c r="J143" s="23"/>
      <c r="K143" s="24"/>
      <c r="L143" s="24"/>
    </row>
    <row r="144" ht="15.75" customHeight="1">
      <c r="A144" s="23"/>
      <c r="B144" s="23"/>
      <c r="D144" s="23"/>
      <c r="F144" s="23"/>
      <c r="G144" s="23"/>
      <c r="I144" s="23"/>
      <c r="J144" s="23"/>
      <c r="K144" s="24"/>
      <c r="L144" s="24"/>
    </row>
    <row r="145" ht="15.75" customHeight="1">
      <c r="A145" s="23"/>
      <c r="B145" s="23"/>
      <c r="D145" s="23"/>
      <c r="F145" s="23"/>
      <c r="G145" s="23"/>
      <c r="I145" s="23"/>
      <c r="J145" s="23"/>
      <c r="K145" s="24"/>
      <c r="L145" s="24"/>
    </row>
    <row r="146" ht="15.75" customHeight="1">
      <c r="A146" s="23"/>
      <c r="B146" s="23"/>
      <c r="D146" s="23"/>
      <c r="F146" s="23"/>
      <c r="G146" s="23"/>
      <c r="I146" s="23"/>
      <c r="J146" s="23"/>
      <c r="K146" s="24"/>
      <c r="L146" s="24"/>
    </row>
    <row r="147" ht="15.75" customHeight="1">
      <c r="A147" s="23"/>
      <c r="B147" s="23"/>
      <c r="D147" s="23"/>
      <c r="F147" s="23"/>
      <c r="G147" s="23"/>
      <c r="I147" s="23"/>
      <c r="J147" s="23"/>
      <c r="K147" s="24"/>
      <c r="L147" s="24"/>
    </row>
    <row r="148" ht="15.75" customHeight="1">
      <c r="A148" s="23"/>
      <c r="B148" s="23"/>
      <c r="D148" s="23"/>
      <c r="F148" s="23"/>
      <c r="G148" s="23"/>
      <c r="I148" s="23"/>
      <c r="J148" s="23"/>
      <c r="K148" s="24"/>
      <c r="L148" s="24"/>
    </row>
    <row r="149" ht="15.75" customHeight="1">
      <c r="A149" s="23"/>
      <c r="B149" s="23"/>
      <c r="D149" s="23"/>
      <c r="F149" s="23"/>
      <c r="G149" s="23"/>
      <c r="I149" s="23"/>
      <c r="J149" s="23"/>
      <c r="K149" s="24"/>
      <c r="L149" s="24"/>
    </row>
    <row r="150" ht="15.75" customHeight="1">
      <c r="A150" s="23"/>
      <c r="B150" s="23"/>
      <c r="D150" s="23"/>
      <c r="F150" s="23"/>
      <c r="G150" s="23"/>
      <c r="I150" s="23"/>
      <c r="J150" s="23"/>
      <c r="K150" s="24"/>
      <c r="L150" s="24"/>
    </row>
    <row r="151" ht="15.75" customHeight="1">
      <c r="A151" s="23"/>
      <c r="B151" s="23"/>
      <c r="D151" s="23"/>
      <c r="F151" s="23"/>
      <c r="G151" s="23"/>
      <c r="I151" s="23"/>
      <c r="J151" s="23"/>
      <c r="K151" s="24"/>
      <c r="L151" s="24"/>
    </row>
    <row r="152" ht="15.75" customHeight="1">
      <c r="A152" s="23"/>
      <c r="B152" s="23"/>
      <c r="D152" s="23"/>
      <c r="F152" s="23"/>
      <c r="G152" s="23"/>
      <c r="I152" s="23"/>
      <c r="J152" s="23"/>
      <c r="K152" s="24"/>
      <c r="L152" s="24"/>
    </row>
    <row r="153" ht="15.75" customHeight="1">
      <c r="A153" s="23"/>
      <c r="B153" s="23"/>
      <c r="D153" s="23"/>
      <c r="F153" s="23"/>
      <c r="G153" s="23"/>
      <c r="I153" s="23"/>
      <c r="J153" s="23"/>
      <c r="K153" s="24"/>
      <c r="L153" s="24"/>
    </row>
    <row r="154" ht="15.75" customHeight="1">
      <c r="A154" s="23"/>
      <c r="B154" s="23"/>
      <c r="D154" s="23"/>
      <c r="F154" s="23"/>
      <c r="G154" s="23"/>
      <c r="I154" s="23"/>
      <c r="J154" s="23"/>
      <c r="K154" s="24"/>
      <c r="L154" s="24"/>
    </row>
    <row r="155" ht="15.75" customHeight="1">
      <c r="A155" s="23"/>
      <c r="B155" s="23"/>
      <c r="D155" s="23"/>
      <c r="F155" s="23"/>
      <c r="G155" s="23"/>
      <c r="I155" s="23"/>
      <c r="J155" s="23"/>
      <c r="K155" s="24"/>
      <c r="L155" s="24"/>
    </row>
    <row r="156" ht="15.75" customHeight="1">
      <c r="A156" s="23"/>
      <c r="B156" s="23"/>
      <c r="D156" s="23"/>
      <c r="F156" s="23"/>
      <c r="G156" s="23"/>
      <c r="I156" s="23"/>
      <c r="J156" s="23"/>
      <c r="K156" s="24"/>
      <c r="L156" s="24"/>
    </row>
    <row r="157" ht="15.75" customHeight="1">
      <c r="A157" s="23"/>
      <c r="B157" s="23"/>
      <c r="D157" s="23"/>
      <c r="F157" s="23"/>
      <c r="G157" s="23"/>
      <c r="I157" s="23"/>
      <c r="J157" s="23"/>
      <c r="K157" s="24"/>
      <c r="L157" s="24"/>
    </row>
    <row r="158" ht="15.75" customHeight="1">
      <c r="A158" s="23"/>
      <c r="B158" s="23"/>
      <c r="D158" s="23"/>
      <c r="F158" s="23"/>
      <c r="G158" s="23"/>
      <c r="I158" s="23"/>
      <c r="J158" s="23"/>
      <c r="K158" s="24"/>
      <c r="L158" s="24"/>
    </row>
    <row r="159" ht="15.75" customHeight="1">
      <c r="A159" s="23"/>
      <c r="B159" s="23"/>
      <c r="D159" s="23"/>
      <c r="F159" s="23"/>
      <c r="G159" s="23"/>
      <c r="I159" s="23"/>
      <c r="J159" s="23"/>
      <c r="K159" s="24"/>
      <c r="L159" s="24"/>
    </row>
    <row r="160" ht="15.75" customHeight="1">
      <c r="A160" s="23"/>
      <c r="B160" s="23"/>
      <c r="D160" s="23"/>
      <c r="F160" s="23"/>
      <c r="G160" s="23"/>
      <c r="I160" s="23"/>
      <c r="J160" s="23"/>
      <c r="K160" s="24"/>
      <c r="L160" s="24"/>
    </row>
    <row r="161" ht="15.75" customHeight="1">
      <c r="A161" s="23"/>
      <c r="B161" s="23"/>
      <c r="D161" s="23"/>
      <c r="F161" s="23"/>
      <c r="G161" s="23"/>
      <c r="I161" s="23"/>
      <c r="J161" s="23"/>
      <c r="K161" s="24"/>
      <c r="L161" s="24"/>
    </row>
    <row r="162" ht="15.75" customHeight="1">
      <c r="A162" s="23"/>
      <c r="B162" s="23"/>
      <c r="D162" s="23"/>
      <c r="F162" s="23"/>
      <c r="G162" s="23"/>
      <c r="I162" s="23"/>
      <c r="J162" s="23"/>
      <c r="K162" s="24"/>
      <c r="L162" s="24"/>
    </row>
    <row r="163" ht="15.75" customHeight="1">
      <c r="A163" s="23"/>
      <c r="B163" s="23"/>
      <c r="D163" s="23"/>
      <c r="F163" s="23"/>
      <c r="G163" s="23"/>
      <c r="I163" s="23"/>
      <c r="J163" s="23"/>
      <c r="K163" s="24"/>
      <c r="L163" s="24"/>
    </row>
    <row r="164" ht="15.75" customHeight="1">
      <c r="A164" s="23"/>
      <c r="B164" s="23"/>
      <c r="D164" s="23"/>
      <c r="F164" s="23"/>
      <c r="G164" s="23"/>
      <c r="I164" s="23"/>
      <c r="J164" s="23"/>
      <c r="K164" s="24"/>
      <c r="L164" s="24"/>
    </row>
    <row r="165" ht="15.75" customHeight="1">
      <c r="A165" s="23"/>
      <c r="B165" s="23"/>
      <c r="D165" s="23"/>
      <c r="F165" s="23"/>
      <c r="G165" s="23"/>
      <c r="I165" s="23"/>
      <c r="J165" s="23"/>
      <c r="K165" s="24"/>
      <c r="L165" s="24"/>
    </row>
    <row r="166" ht="15.75" customHeight="1">
      <c r="A166" s="23"/>
      <c r="B166" s="23"/>
      <c r="D166" s="23"/>
      <c r="F166" s="23"/>
      <c r="G166" s="23"/>
      <c r="I166" s="23"/>
      <c r="J166" s="23"/>
      <c r="K166" s="24"/>
      <c r="L166" s="24"/>
    </row>
    <row r="167" ht="15.75" customHeight="1">
      <c r="A167" s="23"/>
      <c r="B167" s="23"/>
      <c r="D167" s="23"/>
      <c r="F167" s="23"/>
      <c r="G167" s="23"/>
      <c r="I167" s="23"/>
      <c r="J167" s="23"/>
      <c r="K167" s="24"/>
      <c r="L167" s="24"/>
    </row>
    <row r="168" ht="15.75" customHeight="1">
      <c r="A168" s="23"/>
      <c r="B168" s="23"/>
      <c r="D168" s="23"/>
      <c r="F168" s="23"/>
      <c r="G168" s="23"/>
      <c r="I168" s="23"/>
      <c r="J168" s="23"/>
      <c r="K168" s="24"/>
      <c r="L168" s="24"/>
    </row>
    <row r="169" ht="15.75" customHeight="1">
      <c r="A169" s="23"/>
      <c r="B169" s="23"/>
      <c r="D169" s="23"/>
      <c r="F169" s="23"/>
      <c r="G169" s="23"/>
      <c r="I169" s="23"/>
      <c r="J169" s="23"/>
      <c r="K169" s="24"/>
      <c r="L169" s="24"/>
    </row>
    <row r="170" ht="15.75" customHeight="1">
      <c r="A170" s="23"/>
      <c r="B170" s="23"/>
      <c r="D170" s="23"/>
      <c r="F170" s="23"/>
      <c r="G170" s="23"/>
      <c r="I170" s="23"/>
      <c r="J170" s="23"/>
      <c r="K170" s="24"/>
      <c r="L170" s="24"/>
    </row>
    <row r="171" ht="15.75" customHeight="1">
      <c r="A171" s="23"/>
      <c r="B171" s="23"/>
      <c r="D171" s="23"/>
      <c r="F171" s="23"/>
      <c r="G171" s="23"/>
      <c r="I171" s="23"/>
      <c r="J171" s="23"/>
      <c r="K171" s="24"/>
      <c r="L171" s="24"/>
    </row>
    <row r="172" ht="15.75" customHeight="1">
      <c r="A172" s="23"/>
      <c r="B172" s="23"/>
      <c r="D172" s="23"/>
      <c r="F172" s="23"/>
      <c r="G172" s="23"/>
      <c r="I172" s="23"/>
      <c r="J172" s="23"/>
      <c r="K172" s="24"/>
      <c r="L172" s="24"/>
    </row>
    <row r="173" ht="15.75" customHeight="1">
      <c r="A173" s="23"/>
      <c r="B173" s="23"/>
      <c r="D173" s="23"/>
      <c r="F173" s="23"/>
      <c r="G173" s="23"/>
      <c r="I173" s="23"/>
      <c r="J173" s="23"/>
      <c r="K173" s="24"/>
      <c r="L173" s="24"/>
    </row>
    <row r="174" ht="15.75" customHeight="1">
      <c r="A174" s="23"/>
      <c r="B174" s="23"/>
      <c r="D174" s="23"/>
      <c r="F174" s="23"/>
      <c r="G174" s="23"/>
      <c r="I174" s="23"/>
      <c r="J174" s="23"/>
      <c r="K174" s="24"/>
      <c r="L174" s="24"/>
    </row>
    <row r="175" ht="15.75" customHeight="1">
      <c r="A175" s="23"/>
      <c r="B175" s="23"/>
      <c r="D175" s="23"/>
      <c r="F175" s="23"/>
      <c r="G175" s="23"/>
      <c r="I175" s="23"/>
      <c r="J175" s="23"/>
      <c r="K175" s="24"/>
      <c r="L175" s="24"/>
    </row>
    <row r="176" ht="15.75" customHeight="1">
      <c r="A176" s="23"/>
      <c r="B176" s="23"/>
      <c r="D176" s="23"/>
      <c r="F176" s="23"/>
      <c r="G176" s="23"/>
      <c r="I176" s="23"/>
      <c r="J176" s="23"/>
      <c r="K176" s="24"/>
      <c r="L176" s="24"/>
    </row>
    <row r="177" ht="15.75" customHeight="1">
      <c r="A177" s="23"/>
      <c r="B177" s="23"/>
      <c r="D177" s="23"/>
      <c r="F177" s="23"/>
      <c r="G177" s="23"/>
      <c r="I177" s="23"/>
      <c r="J177" s="23"/>
      <c r="K177" s="24"/>
      <c r="L177" s="24"/>
    </row>
    <row r="178" ht="15.75" customHeight="1">
      <c r="A178" s="23"/>
      <c r="B178" s="23"/>
      <c r="D178" s="23"/>
      <c r="F178" s="23"/>
      <c r="G178" s="23"/>
      <c r="I178" s="23"/>
      <c r="J178" s="23"/>
      <c r="K178" s="24"/>
      <c r="L178" s="24"/>
    </row>
    <row r="179" ht="15.75" customHeight="1">
      <c r="A179" s="23"/>
      <c r="B179" s="23"/>
      <c r="D179" s="23"/>
      <c r="F179" s="23"/>
      <c r="G179" s="23"/>
      <c r="I179" s="23"/>
      <c r="J179" s="23"/>
      <c r="K179" s="24"/>
      <c r="L179" s="24"/>
    </row>
    <row r="180" ht="15.75" customHeight="1">
      <c r="A180" s="23"/>
      <c r="B180" s="23"/>
      <c r="D180" s="23"/>
      <c r="F180" s="23"/>
      <c r="G180" s="23"/>
      <c r="I180" s="23"/>
      <c r="J180" s="23"/>
      <c r="K180" s="24"/>
      <c r="L180" s="24"/>
    </row>
    <row r="181" ht="15.75" customHeight="1">
      <c r="A181" s="23"/>
      <c r="B181" s="23"/>
      <c r="D181" s="23"/>
      <c r="F181" s="23"/>
      <c r="G181" s="23"/>
      <c r="I181" s="23"/>
      <c r="J181" s="23"/>
      <c r="K181" s="24"/>
      <c r="L181" s="24"/>
    </row>
    <row r="182" ht="15.75" customHeight="1">
      <c r="A182" s="23"/>
      <c r="B182" s="23"/>
      <c r="D182" s="23"/>
      <c r="F182" s="23"/>
      <c r="G182" s="23"/>
      <c r="I182" s="23"/>
      <c r="J182" s="23"/>
      <c r="K182" s="24"/>
      <c r="L182" s="24"/>
    </row>
    <row r="183" ht="15.75" customHeight="1">
      <c r="A183" s="23"/>
      <c r="B183" s="23"/>
      <c r="D183" s="23"/>
      <c r="F183" s="23"/>
      <c r="G183" s="23"/>
      <c r="I183" s="23"/>
      <c r="J183" s="23"/>
      <c r="K183" s="24"/>
      <c r="L183" s="24"/>
    </row>
    <row r="184" ht="15.75" customHeight="1">
      <c r="A184" s="23"/>
      <c r="B184" s="23"/>
      <c r="D184" s="23"/>
      <c r="F184" s="23"/>
      <c r="G184" s="23"/>
      <c r="I184" s="23"/>
      <c r="J184" s="23"/>
      <c r="K184" s="24"/>
      <c r="L184" s="24"/>
    </row>
    <row r="185" ht="15.75" customHeight="1">
      <c r="A185" s="23"/>
      <c r="B185" s="23"/>
      <c r="D185" s="23"/>
      <c r="F185" s="23"/>
      <c r="G185" s="23"/>
      <c r="I185" s="23"/>
      <c r="J185" s="23"/>
      <c r="K185" s="24"/>
      <c r="L185" s="24"/>
    </row>
    <row r="186" ht="15.75" customHeight="1">
      <c r="A186" s="23"/>
      <c r="B186" s="23"/>
      <c r="D186" s="23"/>
      <c r="F186" s="23"/>
      <c r="G186" s="23"/>
      <c r="I186" s="23"/>
      <c r="J186" s="23"/>
      <c r="K186" s="24"/>
      <c r="L186" s="24"/>
    </row>
    <row r="187" ht="15.75" customHeight="1">
      <c r="A187" s="23"/>
      <c r="B187" s="23"/>
      <c r="D187" s="23"/>
      <c r="F187" s="23"/>
      <c r="G187" s="23"/>
      <c r="I187" s="23"/>
      <c r="J187" s="23"/>
      <c r="K187" s="24"/>
      <c r="L187" s="24"/>
    </row>
    <row r="188" ht="15.75" customHeight="1">
      <c r="A188" s="23"/>
      <c r="B188" s="23"/>
      <c r="D188" s="23"/>
      <c r="F188" s="23"/>
      <c r="G188" s="23"/>
      <c r="I188" s="23"/>
      <c r="J188" s="23"/>
      <c r="K188" s="24"/>
      <c r="L188" s="24"/>
    </row>
    <row r="189" ht="15.75" customHeight="1">
      <c r="A189" s="23"/>
      <c r="B189" s="23"/>
      <c r="D189" s="23"/>
      <c r="F189" s="23"/>
      <c r="G189" s="23"/>
      <c r="I189" s="23"/>
      <c r="J189" s="23"/>
      <c r="K189" s="24"/>
      <c r="L189" s="24"/>
    </row>
    <row r="190" ht="15.75" customHeight="1">
      <c r="A190" s="23"/>
      <c r="B190" s="23"/>
      <c r="D190" s="23"/>
      <c r="F190" s="23"/>
      <c r="G190" s="23"/>
      <c r="I190" s="23"/>
      <c r="J190" s="23"/>
      <c r="K190" s="24"/>
      <c r="L190" s="24"/>
    </row>
    <row r="191" ht="15.75" customHeight="1">
      <c r="A191" s="23"/>
      <c r="B191" s="23"/>
      <c r="D191" s="23"/>
      <c r="F191" s="23"/>
      <c r="G191" s="23"/>
      <c r="I191" s="23"/>
      <c r="J191" s="23"/>
      <c r="K191" s="24"/>
      <c r="L191" s="24"/>
    </row>
    <row r="192" ht="15.75" customHeight="1">
      <c r="A192" s="23"/>
      <c r="B192" s="23"/>
      <c r="D192" s="23"/>
      <c r="F192" s="23"/>
      <c r="G192" s="23"/>
      <c r="I192" s="23"/>
      <c r="J192" s="23"/>
      <c r="K192" s="24"/>
      <c r="L192" s="24"/>
    </row>
    <row r="193" ht="15.75" customHeight="1">
      <c r="A193" s="23"/>
      <c r="B193" s="23"/>
      <c r="D193" s="23"/>
      <c r="F193" s="23"/>
      <c r="G193" s="23"/>
      <c r="I193" s="23"/>
      <c r="J193" s="23"/>
      <c r="K193" s="24"/>
      <c r="L193" s="24"/>
    </row>
    <row r="194" ht="15.75" customHeight="1">
      <c r="A194" s="23"/>
      <c r="B194" s="23"/>
      <c r="D194" s="23"/>
      <c r="F194" s="23"/>
      <c r="G194" s="23"/>
      <c r="I194" s="23"/>
      <c r="J194" s="23"/>
      <c r="K194" s="24"/>
      <c r="L194" s="24"/>
    </row>
    <row r="195" ht="15.75" customHeight="1">
      <c r="A195" s="23"/>
      <c r="B195" s="23"/>
      <c r="D195" s="23"/>
      <c r="F195" s="23"/>
      <c r="G195" s="23"/>
      <c r="I195" s="23"/>
      <c r="J195" s="23"/>
      <c r="K195" s="24"/>
      <c r="L195" s="24"/>
    </row>
    <row r="196" ht="15.75" customHeight="1">
      <c r="A196" s="23"/>
      <c r="B196" s="23"/>
      <c r="D196" s="23"/>
      <c r="F196" s="23"/>
      <c r="G196" s="23"/>
      <c r="I196" s="23"/>
      <c r="J196" s="23"/>
      <c r="K196" s="24"/>
      <c r="L196" s="24"/>
    </row>
    <row r="197" ht="15.75" customHeight="1">
      <c r="A197" s="23"/>
      <c r="B197" s="23"/>
      <c r="D197" s="23"/>
      <c r="F197" s="23"/>
      <c r="G197" s="23"/>
      <c r="I197" s="23"/>
      <c r="J197" s="23"/>
      <c r="K197" s="24"/>
      <c r="L197" s="24"/>
    </row>
    <row r="198" ht="15.75" customHeight="1">
      <c r="A198" s="23"/>
      <c r="B198" s="23"/>
      <c r="D198" s="23"/>
      <c r="F198" s="23"/>
      <c r="G198" s="23"/>
      <c r="I198" s="23"/>
      <c r="J198" s="23"/>
      <c r="K198" s="24"/>
      <c r="L198" s="24"/>
    </row>
    <row r="199" ht="15.75" customHeight="1">
      <c r="A199" s="23"/>
      <c r="B199" s="23"/>
      <c r="D199" s="23"/>
      <c r="F199" s="23"/>
      <c r="G199" s="23"/>
      <c r="I199" s="23"/>
      <c r="J199" s="23"/>
      <c r="K199" s="24"/>
      <c r="L199" s="24"/>
    </row>
    <row r="200" ht="15.75" customHeight="1">
      <c r="A200" s="23"/>
      <c r="B200" s="23"/>
      <c r="D200" s="23"/>
      <c r="F200" s="23"/>
      <c r="G200" s="23"/>
      <c r="I200" s="23"/>
      <c r="J200" s="23"/>
      <c r="K200" s="24"/>
      <c r="L200" s="24"/>
    </row>
    <row r="201" ht="15.75" customHeight="1">
      <c r="A201" s="23"/>
      <c r="B201" s="23"/>
      <c r="D201" s="23"/>
      <c r="F201" s="23"/>
      <c r="G201" s="23"/>
      <c r="I201" s="23"/>
      <c r="J201" s="23"/>
      <c r="K201" s="24"/>
      <c r="L201" s="24"/>
    </row>
    <row r="202" ht="15.75" customHeight="1">
      <c r="A202" s="23"/>
      <c r="B202" s="23"/>
      <c r="D202" s="23"/>
      <c r="F202" s="23"/>
      <c r="G202" s="23"/>
      <c r="I202" s="23"/>
      <c r="J202" s="23"/>
      <c r="K202" s="24"/>
      <c r="L202" s="24"/>
    </row>
    <row r="203" ht="15.75" customHeight="1">
      <c r="A203" s="23"/>
      <c r="B203" s="23"/>
      <c r="D203" s="23"/>
      <c r="F203" s="23"/>
      <c r="G203" s="23"/>
      <c r="I203" s="23"/>
      <c r="J203" s="23"/>
      <c r="K203" s="24"/>
      <c r="L203" s="24"/>
    </row>
    <row r="204" ht="15.75" customHeight="1">
      <c r="A204" s="23"/>
      <c r="B204" s="23"/>
      <c r="D204" s="23"/>
      <c r="F204" s="23"/>
      <c r="G204" s="23"/>
      <c r="I204" s="23"/>
      <c r="J204" s="23"/>
      <c r="K204" s="24"/>
      <c r="L204" s="24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204"/>
  <mergeCells count="3">
    <mergeCell ref="A1:M1"/>
    <mergeCell ref="A2:M2"/>
    <mergeCell ref="A3:M3"/>
  </mergeCells>
  <dataValidations>
    <dataValidation type="list" allowBlank="1" showInputMessage="1" showErrorMessage="1" prompt="Тип объекта" sqref="D5:D204">
      <formula1>'Система'!$N$33:$N$38</formula1>
    </dataValidation>
    <dataValidation type="list" allowBlank="1" showInputMessage="1" showErrorMessage="1" prompt="Владелец данных" sqref="G5:G204">
      <formula1>'Система'!$AC$33:$AC$232</formula1>
    </dataValidation>
    <dataValidation type="list" allowBlank="1" showInputMessage="1" showErrorMessage="1" prompt="Производственная система" sqref="B5:B204">
      <formula1>'Система'!$W$33:$W$232</formula1>
    </dataValidation>
    <dataValidation type="custom" allowBlank="1" showDropDown="1" showInputMessage="1" showErrorMessage="1" prompt="Стабильный ID формата obj-..." sqref="A5:A204">
      <formula1>OR(A5="",REGEXMATCH(A5,"^obj-[A-Za-z0-9._-]+$"))</formula1>
    </dataValidation>
    <dataValidation type="list" allowBlank="1" showInputMessage="1" showErrorMessage="1" prompt="Статус знания" sqref="I5:I204">
      <formula1>'Система'!$A$33:$A$38</formula1>
    </dataValidation>
    <dataValidation type="list" allowBlank="1" showInputMessage="1" showErrorMessage="1" prompt="Источник" sqref="J5:J204">
      <formula1>'Система'!$AF$33:$AF$232</formula1>
    </dataValidation>
    <dataValidation type="list" allowBlank="1" showInputMessage="1" showErrorMessage="1" prompt="Канонический источник данных" sqref="F5:F204">
      <formula1>'Система'!$AD$33:$AD$332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5.0"/>
    <col customWidth="1" min="3" max="3" width="20.0"/>
    <col customWidth="1" min="4" max="4" width="31.13"/>
    <col customWidth="1" min="5" max="5" width="15.0"/>
    <col customWidth="1" min="6" max="6" width="20.0"/>
    <col customWidth="1" min="7" max="10" width="15.0"/>
    <col customWidth="1" min="11" max="12" width="12.25"/>
    <col customWidth="1" min="13" max="13" width="31.13"/>
    <col customWidth="1" min="14" max="26" width="8.63"/>
  </cols>
  <sheetData>
    <row r="1" ht="25.5" customHeight="1">
      <c r="A1" s="1" t="s">
        <v>590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2.5" customHeight="1">
      <c r="A2" s="4" t="s">
        <v>591</v>
      </c>
    </row>
    <row r="3" ht="19.5" customHeight="1">
      <c r="A3" s="7" t="s">
        <v>8</v>
      </c>
    </row>
    <row r="4" ht="39.0" customHeight="1">
      <c r="A4" s="10" t="s">
        <v>592</v>
      </c>
      <c r="B4" s="10" t="s">
        <v>593</v>
      </c>
      <c r="C4" s="10" t="s">
        <v>594</v>
      </c>
      <c r="D4" s="10" t="s">
        <v>586</v>
      </c>
      <c r="E4" s="10" t="s">
        <v>595</v>
      </c>
      <c r="F4" s="13" t="s">
        <v>596</v>
      </c>
      <c r="G4" s="10" t="s">
        <v>438</v>
      </c>
      <c r="H4" s="10" t="s">
        <v>545</v>
      </c>
      <c r="I4" s="10" t="s">
        <v>36</v>
      </c>
      <c r="J4" s="10" t="s">
        <v>38</v>
      </c>
      <c r="K4" s="10" t="s">
        <v>40</v>
      </c>
      <c r="L4" s="13" t="s">
        <v>44</v>
      </c>
      <c r="M4" s="13" t="s">
        <v>52</v>
      </c>
    </row>
    <row r="5">
      <c r="A5" s="23"/>
      <c r="B5" s="23"/>
      <c r="E5" s="23"/>
      <c r="G5" s="23"/>
      <c r="H5" s="23"/>
      <c r="I5" s="23"/>
      <c r="J5" s="23"/>
      <c r="K5" s="24"/>
      <c r="L5" s="24"/>
    </row>
    <row r="6">
      <c r="A6" s="23"/>
      <c r="B6" s="23"/>
      <c r="E6" s="23"/>
      <c r="G6" s="23"/>
      <c r="H6" s="23"/>
      <c r="I6" s="23"/>
      <c r="J6" s="23"/>
      <c r="K6" s="24"/>
      <c r="L6" s="24"/>
    </row>
    <row r="7">
      <c r="A7" s="23"/>
      <c r="B7" s="23"/>
      <c r="E7" s="23"/>
      <c r="G7" s="23"/>
      <c r="H7" s="23"/>
      <c r="I7" s="23"/>
      <c r="J7" s="23"/>
      <c r="K7" s="24"/>
      <c r="L7" s="24"/>
    </row>
    <row r="8">
      <c r="A8" s="23"/>
      <c r="B8" s="23"/>
      <c r="E8" s="23"/>
      <c r="G8" s="23"/>
      <c r="H8" s="23"/>
      <c r="I8" s="23"/>
      <c r="J8" s="23"/>
      <c r="K8" s="24"/>
      <c r="L8" s="24"/>
    </row>
    <row r="9">
      <c r="A9" s="23"/>
      <c r="B9" s="23"/>
      <c r="E9" s="23"/>
      <c r="G9" s="23"/>
      <c r="H9" s="23"/>
      <c r="I9" s="23"/>
      <c r="J9" s="23"/>
      <c r="K9" s="24"/>
      <c r="L9" s="24"/>
    </row>
    <row r="10">
      <c r="A10" s="23"/>
      <c r="B10" s="23"/>
      <c r="E10" s="23"/>
      <c r="G10" s="23"/>
      <c r="H10" s="23"/>
      <c r="I10" s="23"/>
      <c r="J10" s="23"/>
      <c r="K10" s="24"/>
      <c r="L10" s="24"/>
    </row>
    <row r="11">
      <c r="A11" s="23"/>
      <c r="B11" s="23"/>
      <c r="E11" s="23"/>
      <c r="G11" s="23"/>
      <c r="H11" s="23"/>
      <c r="I11" s="23"/>
      <c r="J11" s="23"/>
      <c r="K11" s="24"/>
      <c r="L11" s="24"/>
    </row>
    <row r="12">
      <c r="A12" s="23"/>
      <c r="B12" s="23"/>
      <c r="E12" s="23"/>
      <c r="G12" s="23"/>
      <c r="H12" s="23"/>
      <c r="I12" s="23"/>
      <c r="J12" s="23"/>
      <c r="K12" s="24"/>
      <c r="L12" s="24"/>
    </row>
    <row r="13">
      <c r="A13" s="23"/>
      <c r="B13" s="23"/>
      <c r="E13" s="23"/>
      <c r="G13" s="23"/>
      <c r="H13" s="23"/>
      <c r="I13" s="23"/>
      <c r="J13" s="23"/>
      <c r="K13" s="24"/>
      <c r="L13" s="24"/>
    </row>
    <row r="14">
      <c r="A14" s="23"/>
      <c r="B14" s="23"/>
      <c r="E14" s="23"/>
      <c r="G14" s="23"/>
      <c r="H14" s="23"/>
      <c r="I14" s="23"/>
      <c r="J14" s="23"/>
      <c r="K14" s="24"/>
      <c r="L14" s="24"/>
    </row>
    <row r="15">
      <c r="A15" s="23"/>
      <c r="B15" s="23"/>
      <c r="E15" s="23"/>
      <c r="G15" s="23"/>
      <c r="H15" s="23"/>
      <c r="I15" s="23"/>
      <c r="J15" s="23"/>
      <c r="K15" s="24"/>
      <c r="L15" s="24"/>
    </row>
    <row r="16">
      <c r="A16" s="23"/>
      <c r="B16" s="23"/>
      <c r="E16" s="23"/>
      <c r="G16" s="23"/>
      <c r="H16" s="23"/>
      <c r="I16" s="23"/>
      <c r="J16" s="23"/>
      <c r="K16" s="24"/>
      <c r="L16" s="24"/>
    </row>
    <row r="17">
      <c r="A17" s="23"/>
      <c r="B17" s="23"/>
      <c r="E17" s="23"/>
      <c r="G17" s="23"/>
      <c r="H17" s="23"/>
      <c r="I17" s="23"/>
      <c r="J17" s="23"/>
      <c r="K17" s="24"/>
      <c r="L17" s="24"/>
    </row>
    <row r="18">
      <c r="A18" s="23"/>
      <c r="B18" s="23"/>
      <c r="E18" s="23"/>
      <c r="G18" s="23"/>
      <c r="H18" s="23"/>
      <c r="I18" s="23"/>
      <c r="J18" s="23"/>
      <c r="K18" s="24"/>
      <c r="L18" s="24"/>
    </row>
    <row r="19">
      <c r="A19" s="23"/>
      <c r="B19" s="23"/>
      <c r="E19" s="23"/>
      <c r="G19" s="23"/>
      <c r="H19" s="23"/>
      <c r="I19" s="23"/>
      <c r="J19" s="23"/>
      <c r="K19" s="24"/>
      <c r="L19" s="24"/>
    </row>
    <row r="20">
      <c r="A20" s="23"/>
      <c r="B20" s="23"/>
      <c r="E20" s="23"/>
      <c r="G20" s="23"/>
      <c r="H20" s="23"/>
      <c r="I20" s="23"/>
      <c r="J20" s="23"/>
      <c r="K20" s="24"/>
      <c r="L20" s="24"/>
    </row>
    <row r="21" ht="15.75" customHeight="1">
      <c r="A21" s="23"/>
      <c r="B21" s="23"/>
      <c r="E21" s="23"/>
      <c r="G21" s="23"/>
      <c r="H21" s="23"/>
      <c r="I21" s="23"/>
      <c r="J21" s="23"/>
      <c r="K21" s="24"/>
      <c r="L21" s="24"/>
    </row>
    <row r="22" ht="15.75" customHeight="1">
      <c r="A22" s="23"/>
      <c r="B22" s="23"/>
      <c r="E22" s="23"/>
      <c r="G22" s="23"/>
      <c r="H22" s="23"/>
      <c r="I22" s="23"/>
      <c r="J22" s="23"/>
      <c r="K22" s="24"/>
      <c r="L22" s="24"/>
    </row>
    <row r="23" ht="15.75" customHeight="1">
      <c r="A23" s="23"/>
      <c r="B23" s="23"/>
      <c r="E23" s="23"/>
      <c r="G23" s="23"/>
      <c r="H23" s="23"/>
      <c r="I23" s="23"/>
      <c r="J23" s="23"/>
      <c r="K23" s="24"/>
      <c r="L23" s="24"/>
    </row>
    <row r="24" ht="15.75" customHeight="1">
      <c r="A24" s="23"/>
      <c r="B24" s="23"/>
      <c r="E24" s="23"/>
      <c r="G24" s="23"/>
      <c r="H24" s="23"/>
      <c r="I24" s="23"/>
      <c r="J24" s="23"/>
      <c r="K24" s="24"/>
      <c r="L24" s="24"/>
    </row>
    <row r="25" ht="15.75" customHeight="1">
      <c r="A25" s="23"/>
      <c r="B25" s="23"/>
      <c r="E25" s="23"/>
      <c r="G25" s="23"/>
      <c r="H25" s="23"/>
      <c r="I25" s="23"/>
      <c r="J25" s="23"/>
      <c r="K25" s="24"/>
      <c r="L25" s="24"/>
    </row>
    <row r="26" ht="15.75" customHeight="1">
      <c r="A26" s="23"/>
      <c r="B26" s="23"/>
      <c r="E26" s="23"/>
      <c r="G26" s="23"/>
      <c r="H26" s="23"/>
      <c r="I26" s="23"/>
      <c r="J26" s="23"/>
      <c r="K26" s="24"/>
      <c r="L26" s="24"/>
    </row>
    <row r="27" ht="15.75" customHeight="1">
      <c r="A27" s="23"/>
      <c r="B27" s="23"/>
      <c r="E27" s="23"/>
      <c r="G27" s="23"/>
      <c r="H27" s="23"/>
      <c r="I27" s="23"/>
      <c r="J27" s="23"/>
      <c r="K27" s="24"/>
      <c r="L27" s="24"/>
    </row>
    <row r="28" ht="15.75" customHeight="1">
      <c r="A28" s="23"/>
      <c r="B28" s="23"/>
      <c r="E28" s="23"/>
      <c r="G28" s="23"/>
      <c r="H28" s="23"/>
      <c r="I28" s="23"/>
      <c r="J28" s="23"/>
      <c r="K28" s="24"/>
      <c r="L28" s="24"/>
    </row>
    <row r="29" ht="15.75" customHeight="1">
      <c r="A29" s="23"/>
      <c r="B29" s="23"/>
      <c r="E29" s="23"/>
      <c r="G29" s="23"/>
      <c r="H29" s="23"/>
      <c r="I29" s="23"/>
      <c r="J29" s="23"/>
      <c r="K29" s="24"/>
      <c r="L29" s="24"/>
    </row>
    <row r="30" ht="15.75" customHeight="1">
      <c r="A30" s="23"/>
      <c r="B30" s="23"/>
      <c r="E30" s="23"/>
      <c r="G30" s="23"/>
      <c r="H30" s="23"/>
      <c r="I30" s="23"/>
      <c r="J30" s="23"/>
      <c r="K30" s="24"/>
      <c r="L30" s="24"/>
    </row>
    <row r="31" ht="15.75" customHeight="1">
      <c r="A31" s="23"/>
      <c r="B31" s="23"/>
      <c r="E31" s="23"/>
      <c r="G31" s="23"/>
      <c r="H31" s="23"/>
      <c r="I31" s="23"/>
      <c r="J31" s="23"/>
      <c r="K31" s="24"/>
      <c r="L31" s="24"/>
    </row>
    <row r="32" ht="15.75" customHeight="1">
      <c r="A32" s="23"/>
      <c r="B32" s="23"/>
      <c r="E32" s="23"/>
      <c r="G32" s="23"/>
      <c r="H32" s="23"/>
      <c r="I32" s="23"/>
      <c r="J32" s="23"/>
      <c r="K32" s="24"/>
      <c r="L32" s="24"/>
    </row>
    <row r="33" ht="15.75" customHeight="1">
      <c r="A33" s="23"/>
      <c r="B33" s="23"/>
      <c r="E33" s="23"/>
      <c r="G33" s="23"/>
      <c r="H33" s="23"/>
      <c r="I33" s="23"/>
      <c r="J33" s="23"/>
      <c r="K33" s="24"/>
      <c r="L33" s="24"/>
    </row>
    <row r="34" ht="15.75" customHeight="1">
      <c r="A34" s="23"/>
      <c r="B34" s="23"/>
      <c r="E34" s="23"/>
      <c r="G34" s="23"/>
      <c r="H34" s="23"/>
      <c r="I34" s="23"/>
      <c r="J34" s="23"/>
      <c r="K34" s="24"/>
      <c r="L34" s="24"/>
    </row>
    <row r="35" ht="15.75" customHeight="1">
      <c r="A35" s="23"/>
      <c r="B35" s="23"/>
      <c r="E35" s="23"/>
      <c r="G35" s="23"/>
      <c r="H35" s="23"/>
      <c r="I35" s="23"/>
      <c r="J35" s="23"/>
      <c r="K35" s="24"/>
      <c r="L35" s="24"/>
    </row>
    <row r="36" ht="15.75" customHeight="1">
      <c r="A36" s="23"/>
      <c r="B36" s="23"/>
      <c r="E36" s="23"/>
      <c r="G36" s="23"/>
      <c r="H36" s="23"/>
      <c r="I36" s="23"/>
      <c r="J36" s="23"/>
      <c r="K36" s="24"/>
      <c r="L36" s="24"/>
    </row>
    <row r="37" ht="15.75" customHeight="1">
      <c r="A37" s="23"/>
      <c r="B37" s="23"/>
      <c r="E37" s="23"/>
      <c r="G37" s="23"/>
      <c r="H37" s="23"/>
      <c r="I37" s="23"/>
      <c r="J37" s="23"/>
      <c r="K37" s="24"/>
      <c r="L37" s="24"/>
    </row>
    <row r="38" ht="15.75" customHeight="1">
      <c r="A38" s="23"/>
      <c r="B38" s="23"/>
      <c r="E38" s="23"/>
      <c r="G38" s="23"/>
      <c r="H38" s="23"/>
      <c r="I38" s="23"/>
      <c r="J38" s="23"/>
      <c r="K38" s="24"/>
      <c r="L38" s="24"/>
    </row>
    <row r="39" ht="15.75" customHeight="1">
      <c r="A39" s="23"/>
      <c r="B39" s="23"/>
      <c r="E39" s="23"/>
      <c r="G39" s="23"/>
      <c r="H39" s="23"/>
      <c r="I39" s="23"/>
      <c r="J39" s="23"/>
      <c r="K39" s="24"/>
      <c r="L39" s="24"/>
    </row>
    <row r="40" ht="15.75" customHeight="1">
      <c r="A40" s="23"/>
      <c r="B40" s="23"/>
      <c r="E40" s="23"/>
      <c r="G40" s="23"/>
      <c r="H40" s="23"/>
      <c r="I40" s="23"/>
      <c r="J40" s="23"/>
      <c r="K40" s="24"/>
      <c r="L40" s="24"/>
    </row>
    <row r="41" ht="15.75" customHeight="1">
      <c r="A41" s="23"/>
      <c r="B41" s="23"/>
      <c r="E41" s="23"/>
      <c r="G41" s="23"/>
      <c r="H41" s="23"/>
      <c r="I41" s="23"/>
      <c r="J41" s="23"/>
      <c r="K41" s="24"/>
      <c r="L41" s="24"/>
    </row>
    <row r="42" ht="15.75" customHeight="1">
      <c r="A42" s="23"/>
      <c r="B42" s="23"/>
      <c r="E42" s="23"/>
      <c r="G42" s="23"/>
      <c r="H42" s="23"/>
      <c r="I42" s="23"/>
      <c r="J42" s="23"/>
      <c r="K42" s="24"/>
      <c r="L42" s="24"/>
    </row>
    <row r="43" ht="15.75" customHeight="1">
      <c r="A43" s="23"/>
      <c r="B43" s="23"/>
      <c r="E43" s="23"/>
      <c r="G43" s="23"/>
      <c r="H43" s="23"/>
      <c r="I43" s="23"/>
      <c r="J43" s="23"/>
      <c r="K43" s="24"/>
      <c r="L43" s="24"/>
    </row>
    <row r="44" ht="15.75" customHeight="1">
      <c r="A44" s="23"/>
      <c r="B44" s="23"/>
      <c r="E44" s="23"/>
      <c r="G44" s="23"/>
      <c r="H44" s="23"/>
      <c r="I44" s="23"/>
      <c r="J44" s="23"/>
      <c r="K44" s="24"/>
      <c r="L44" s="24"/>
    </row>
    <row r="45" ht="15.75" customHeight="1">
      <c r="A45" s="23"/>
      <c r="B45" s="23"/>
      <c r="E45" s="23"/>
      <c r="G45" s="23"/>
      <c r="H45" s="23"/>
      <c r="I45" s="23"/>
      <c r="J45" s="23"/>
      <c r="K45" s="24"/>
      <c r="L45" s="24"/>
    </row>
    <row r="46" ht="15.75" customHeight="1">
      <c r="A46" s="23"/>
      <c r="B46" s="23"/>
      <c r="E46" s="23"/>
      <c r="G46" s="23"/>
      <c r="H46" s="23"/>
      <c r="I46" s="23"/>
      <c r="J46" s="23"/>
      <c r="K46" s="24"/>
      <c r="L46" s="24"/>
    </row>
    <row r="47" ht="15.75" customHeight="1">
      <c r="A47" s="23"/>
      <c r="B47" s="23"/>
      <c r="E47" s="23"/>
      <c r="G47" s="23"/>
      <c r="H47" s="23"/>
      <c r="I47" s="23"/>
      <c r="J47" s="23"/>
      <c r="K47" s="24"/>
      <c r="L47" s="24"/>
    </row>
    <row r="48" ht="15.75" customHeight="1">
      <c r="A48" s="23"/>
      <c r="B48" s="23"/>
      <c r="E48" s="23"/>
      <c r="G48" s="23"/>
      <c r="H48" s="23"/>
      <c r="I48" s="23"/>
      <c r="J48" s="23"/>
      <c r="K48" s="24"/>
      <c r="L48" s="24"/>
    </row>
    <row r="49" ht="15.75" customHeight="1">
      <c r="A49" s="23"/>
      <c r="B49" s="23"/>
      <c r="E49" s="23"/>
      <c r="G49" s="23"/>
      <c r="H49" s="23"/>
      <c r="I49" s="23"/>
      <c r="J49" s="23"/>
      <c r="K49" s="24"/>
      <c r="L49" s="24"/>
    </row>
    <row r="50" ht="15.75" customHeight="1">
      <c r="A50" s="23"/>
      <c r="B50" s="23"/>
      <c r="E50" s="23"/>
      <c r="G50" s="23"/>
      <c r="H50" s="23"/>
      <c r="I50" s="23"/>
      <c r="J50" s="23"/>
      <c r="K50" s="24"/>
      <c r="L50" s="24"/>
    </row>
    <row r="51" ht="15.75" customHeight="1">
      <c r="A51" s="23"/>
      <c r="B51" s="23"/>
      <c r="E51" s="23"/>
      <c r="G51" s="23"/>
      <c r="H51" s="23"/>
      <c r="I51" s="23"/>
      <c r="J51" s="23"/>
      <c r="K51" s="24"/>
      <c r="L51" s="24"/>
    </row>
    <row r="52" ht="15.75" customHeight="1">
      <c r="A52" s="23"/>
      <c r="B52" s="23"/>
      <c r="E52" s="23"/>
      <c r="G52" s="23"/>
      <c r="H52" s="23"/>
      <c r="I52" s="23"/>
      <c r="J52" s="23"/>
      <c r="K52" s="24"/>
      <c r="L52" s="24"/>
    </row>
    <row r="53" ht="15.75" customHeight="1">
      <c r="A53" s="23"/>
      <c r="B53" s="23"/>
      <c r="E53" s="23"/>
      <c r="G53" s="23"/>
      <c r="H53" s="23"/>
      <c r="I53" s="23"/>
      <c r="J53" s="23"/>
      <c r="K53" s="24"/>
      <c r="L53" s="24"/>
    </row>
    <row r="54" ht="15.75" customHeight="1">
      <c r="A54" s="23"/>
      <c r="B54" s="23"/>
      <c r="E54" s="23"/>
      <c r="G54" s="23"/>
      <c r="H54" s="23"/>
      <c r="I54" s="23"/>
      <c r="J54" s="23"/>
      <c r="K54" s="24"/>
      <c r="L54" s="24"/>
    </row>
    <row r="55" ht="15.75" customHeight="1">
      <c r="A55" s="23"/>
      <c r="B55" s="23"/>
      <c r="E55" s="23"/>
      <c r="G55" s="23"/>
      <c r="H55" s="23"/>
      <c r="I55" s="23"/>
      <c r="J55" s="23"/>
      <c r="K55" s="24"/>
      <c r="L55" s="24"/>
    </row>
    <row r="56" ht="15.75" customHeight="1">
      <c r="A56" s="23"/>
      <c r="B56" s="23"/>
      <c r="E56" s="23"/>
      <c r="G56" s="23"/>
      <c r="H56" s="23"/>
      <c r="I56" s="23"/>
      <c r="J56" s="23"/>
      <c r="K56" s="24"/>
      <c r="L56" s="24"/>
    </row>
    <row r="57" ht="15.75" customHeight="1">
      <c r="A57" s="23"/>
      <c r="B57" s="23"/>
      <c r="E57" s="23"/>
      <c r="G57" s="23"/>
      <c r="H57" s="23"/>
      <c r="I57" s="23"/>
      <c r="J57" s="23"/>
      <c r="K57" s="24"/>
      <c r="L57" s="24"/>
    </row>
    <row r="58" ht="15.75" customHeight="1">
      <c r="A58" s="23"/>
      <c r="B58" s="23"/>
      <c r="E58" s="23"/>
      <c r="G58" s="23"/>
      <c r="H58" s="23"/>
      <c r="I58" s="23"/>
      <c r="J58" s="23"/>
      <c r="K58" s="24"/>
      <c r="L58" s="24"/>
    </row>
    <row r="59" ht="15.75" customHeight="1">
      <c r="A59" s="23"/>
      <c r="B59" s="23"/>
      <c r="E59" s="23"/>
      <c r="G59" s="23"/>
      <c r="H59" s="23"/>
      <c r="I59" s="23"/>
      <c r="J59" s="23"/>
      <c r="K59" s="24"/>
      <c r="L59" s="24"/>
    </row>
    <row r="60" ht="15.75" customHeight="1">
      <c r="A60" s="23"/>
      <c r="B60" s="23"/>
      <c r="E60" s="23"/>
      <c r="G60" s="23"/>
      <c r="H60" s="23"/>
      <c r="I60" s="23"/>
      <c r="J60" s="23"/>
      <c r="K60" s="24"/>
      <c r="L60" s="24"/>
    </row>
    <row r="61" ht="15.75" customHeight="1">
      <c r="A61" s="23"/>
      <c r="B61" s="23"/>
      <c r="E61" s="23"/>
      <c r="G61" s="23"/>
      <c r="H61" s="23"/>
      <c r="I61" s="23"/>
      <c r="J61" s="23"/>
      <c r="K61" s="24"/>
      <c r="L61" s="24"/>
    </row>
    <row r="62" ht="15.75" customHeight="1">
      <c r="A62" s="23"/>
      <c r="B62" s="23"/>
      <c r="E62" s="23"/>
      <c r="G62" s="23"/>
      <c r="H62" s="23"/>
      <c r="I62" s="23"/>
      <c r="J62" s="23"/>
      <c r="K62" s="24"/>
      <c r="L62" s="24"/>
    </row>
    <row r="63" ht="15.75" customHeight="1">
      <c r="A63" s="23"/>
      <c r="B63" s="23"/>
      <c r="E63" s="23"/>
      <c r="G63" s="23"/>
      <c r="H63" s="23"/>
      <c r="I63" s="23"/>
      <c r="J63" s="23"/>
      <c r="K63" s="24"/>
      <c r="L63" s="24"/>
    </row>
    <row r="64" ht="15.75" customHeight="1">
      <c r="A64" s="23"/>
      <c r="B64" s="23"/>
      <c r="E64" s="23"/>
      <c r="G64" s="23"/>
      <c r="H64" s="23"/>
      <c r="I64" s="23"/>
      <c r="J64" s="23"/>
      <c r="K64" s="24"/>
      <c r="L64" s="24"/>
    </row>
    <row r="65" ht="15.75" customHeight="1">
      <c r="A65" s="23"/>
      <c r="B65" s="23"/>
      <c r="E65" s="23"/>
      <c r="G65" s="23"/>
      <c r="H65" s="23"/>
      <c r="I65" s="23"/>
      <c r="J65" s="23"/>
      <c r="K65" s="24"/>
      <c r="L65" s="24"/>
    </row>
    <row r="66" ht="15.75" customHeight="1">
      <c r="A66" s="23"/>
      <c r="B66" s="23"/>
      <c r="E66" s="23"/>
      <c r="G66" s="23"/>
      <c r="H66" s="23"/>
      <c r="I66" s="23"/>
      <c r="J66" s="23"/>
      <c r="K66" s="24"/>
      <c r="L66" s="24"/>
    </row>
    <row r="67" ht="15.75" customHeight="1">
      <c r="A67" s="23"/>
      <c r="B67" s="23"/>
      <c r="E67" s="23"/>
      <c r="G67" s="23"/>
      <c r="H67" s="23"/>
      <c r="I67" s="23"/>
      <c r="J67" s="23"/>
      <c r="K67" s="24"/>
      <c r="L67" s="24"/>
    </row>
    <row r="68" ht="15.75" customHeight="1">
      <c r="A68" s="23"/>
      <c r="B68" s="23"/>
      <c r="E68" s="23"/>
      <c r="G68" s="23"/>
      <c r="H68" s="23"/>
      <c r="I68" s="23"/>
      <c r="J68" s="23"/>
      <c r="K68" s="24"/>
      <c r="L68" s="24"/>
    </row>
    <row r="69" ht="15.75" customHeight="1">
      <c r="A69" s="23"/>
      <c r="B69" s="23"/>
      <c r="E69" s="23"/>
      <c r="G69" s="23"/>
      <c r="H69" s="23"/>
      <c r="I69" s="23"/>
      <c r="J69" s="23"/>
      <c r="K69" s="24"/>
      <c r="L69" s="24"/>
    </row>
    <row r="70" ht="15.75" customHeight="1">
      <c r="A70" s="23"/>
      <c r="B70" s="23"/>
      <c r="E70" s="23"/>
      <c r="G70" s="23"/>
      <c r="H70" s="23"/>
      <c r="I70" s="23"/>
      <c r="J70" s="23"/>
      <c r="K70" s="24"/>
      <c r="L70" s="24"/>
    </row>
    <row r="71" ht="15.75" customHeight="1">
      <c r="A71" s="23"/>
      <c r="B71" s="23"/>
      <c r="E71" s="23"/>
      <c r="G71" s="23"/>
      <c r="H71" s="23"/>
      <c r="I71" s="23"/>
      <c r="J71" s="23"/>
      <c r="K71" s="24"/>
      <c r="L71" s="24"/>
    </row>
    <row r="72" ht="15.75" customHeight="1">
      <c r="A72" s="23"/>
      <c r="B72" s="23"/>
      <c r="E72" s="23"/>
      <c r="G72" s="23"/>
      <c r="H72" s="23"/>
      <c r="I72" s="23"/>
      <c r="J72" s="23"/>
      <c r="K72" s="24"/>
      <c r="L72" s="24"/>
    </row>
    <row r="73" ht="15.75" customHeight="1">
      <c r="A73" s="23"/>
      <c r="B73" s="23"/>
      <c r="E73" s="23"/>
      <c r="G73" s="23"/>
      <c r="H73" s="23"/>
      <c r="I73" s="23"/>
      <c r="J73" s="23"/>
      <c r="K73" s="24"/>
      <c r="L73" s="24"/>
    </row>
    <row r="74" ht="15.75" customHeight="1">
      <c r="A74" s="23"/>
      <c r="B74" s="23"/>
      <c r="E74" s="23"/>
      <c r="G74" s="23"/>
      <c r="H74" s="23"/>
      <c r="I74" s="23"/>
      <c r="J74" s="23"/>
      <c r="K74" s="24"/>
      <c r="L74" s="24"/>
    </row>
    <row r="75" ht="15.75" customHeight="1">
      <c r="A75" s="23"/>
      <c r="B75" s="23"/>
      <c r="E75" s="23"/>
      <c r="G75" s="23"/>
      <c r="H75" s="23"/>
      <c r="I75" s="23"/>
      <c r="J75" s="23"/>
      <c r="K75" s="24"/>
      <c r="L75" s="24"/>
    </row>
    <row r="76" ht="15.75" customHeight="1">
      <c r="A76" s="23"/>
      <c r="B76" s="23"/>
      <c r="E76" s="23"/>
      <c r="G76" s="23"/>
      <c r="H76" s="23"/>
      <c r="I76" s="23"/>
      <c r="J76" s="23"/>
      <c r="K76" s="24"/>
      <c r="L76" s="24"/>
    </row>
    <row r="77" ht="15.75" customHeight="1">
      <c r="A77" s="23"/>
      <c r="B77" s="23"/>
      <c r="E77" s="23"/>
      <c r="G77" s="23"/>
      <c r="H77" s="23"/>
      <c r="I77" s="23"/>
      <c r="J77" s="23"/>
      <c r="K77" s="24"/>
      <c r="L77" s="24"/>
    </row>
    <row r="78" ht="15.75" customHeight="1">
      <c r="A78" s="23"/>
      <c r="B78" s="23"/>
      <c r="E78" s="23"/>
      <c r="G78" s="23"/>
      <c r="H78" s="23"/>
      <c r="I78" s="23"/>
      <c r="J78" s="23"/>
      <c r="K78" s="24"/>
      <c r="L78" s="24"/>
    </row>
    <row r="79" ht="15.75" customHeight="1">
      <c r="A79" s="23"/>
      <c r="B79" s="23"/>
      <c r="E79" s="23"/>
      <c r="G79" s="23"/>
      <c r="H79" s="23"/>
      <c r="I79" s="23"/>
      <c r="J79" s="23"/>
      <c r="K79" s="24"/>
      <c r="L79" s="24"/>
    </row>
    <row r="80" ht="15.75" customHeight="1">
      <c r="A80" s="23"/>
      <c r="B80" s="23"/>
      <c r="E80" s="23"/>
      <c r="G80" s="23"/>
      <c r="H80" s="23"/>
      <c r="I80" s="23"/>
      <c r="J80" s="23"/>
      <c r="K80" s="24"/>
      <c r="L80" s="24"/>
    </row>
    <row r="81" ht="15.75" customHeight="1">
      <c r="A81" s="23"/>
      <c r="B81" s="23"/>
      <c r="E81" s="23"/>
      <c r="G81" s="23"/>
      <c r="H81" s="23"/>
      <c r="I81" s="23"/>
      <c r="J81" s="23"/>
      <c r="K81" s="24"/>
      <c r="L81" s="24"/>
    </row>
    <row r="82" ht="15.75" customHeight="1">
      <c r="A82" s="23"/>
      <c r="B82" s="23"/>
      <c r="E82" s="23"/>
      <c r="G82" s="23"/>
      <c r="H82" s="23"/>
      <c r="I82" s="23"/>
      <c r="J82" s="23"/>
      <c r="K82" s="24"/>
      <c r="L82" s="24"/>
    </row>
    <row r="83" ht="15.75" customHeight="1">
      <c r="A83" s="23"/>
      <c r="B83" s="23"/>
      <c r="E83" s="23"/>
      <c r="G83" s="23"/>
      <c r="H83" s="23"/>
      <c r="I83" s="23"/>
      <c r="J83" s="23"/>
      <c r="K83" s="24"/>
      <c r="L83" s="24"/>
    </row>
    <row r="84" ht="15.75" customHeight="1">
      <c r="A84" s="23"/>
      <c r="B84" s="23"/>
      <c r="E84" s="23"/>
      <c r="G84" s="23"/>
      <c r="H84" s="23"/>
      <c r="I84" s="23"/>
      <c r="J84" s="23"/>
      <c r="K84" s="24"/>
      <c r="L84" s="24"/>
    </row>
    <row r="85" ht="15.75" customHeight="1">
      <c r="A85" s="23"/>
      <c r="B85" s="23"/>
      <c r="E85" s="23"/>
      <c r="G85" s="23"/>
      <c r="H85" s="23"/>
      <c r="I85" s="23"/>
      <c r="J85" s="23"/>
      <c r="K85" s="24"/>
      <c r="L85" s="24"/>
    </row>
    <row r="86" ht="15.75" customHeight="1">
      <c r="A86" s="23"/>
      <c r="B86" s="23"/>
      <c r="E86" s="23"/>
      <c r="G86" s="23"/>
      <c r="H86" s="23"/>
      <c r="I86" s="23"/>
      <c r="J86" s="23"/>
      <c r="K86" s="24"/>
      <c r="L86" s="24"/>
    </row>
    <row r="87" ht="15.75" customHeight="1">
      <c r="A87" s="23"/>
      <c r="B87" s="23"/>
      <c r="E87" s="23"/>
      <c r="G87" s="23"/>
      <c r="H87" s="23"/>
      <c r="I87" s="23"/>
      <c r="J87" s="23"/>
      <c r="K87" s="24"/>
      <c r="L87" s="24"/>
    </row>
    <row r="88" ht="15.75" customHeight="1">
      <c r="A88" s="23"/>
      <c r="B88" s="23"/>
      <c r="E88" s="23"/>
      <c r="G88" s="23"/>
      <c r="H88" s="23"/>
      <c r="I88" s="23"/>
      <c r="J88" s="23"/>
      <c r="K88" s="24"/>
      <c r="L88" s="24"/>
    </row>
    <row r="89" ht="15.75" customHeight="1">
      <c r="A89" s="23"/>
      <c r="B89" s="23"/>
      <c r="E89" s="23"/>
      <c r="G89" s="23"/>
      <c r="H89" s="23"/>
      <c r="I89" s="23"/>
      <c r="J89" s="23"/>
      <c r="K89" s="24"/>
      <c r="L89" s="24"/>
    </row>
    <row r="90" ht="15.75" customHeight="1">
      <c r="A90" s="23"/>
      <c r="B90" s="23"/>
      <c r="E90" s="23"/>
      <c r="G90" s="23"/>
      <c r="H90" s="23"/>
      <c r="I90" s="23"/>
      <c r="J90" s="23"/>
      <c r="K90" s="24"/>
      <c r="L90" s="24"/>
    </row>
    <row r="91" ht="15.75" customHeight="1">
      <c r="A91" s="23"/>
      <c r="B91" s="23"/>
      <c r="E91" s="23"/>
      <c r="G91" s="23"/>
      <c r="H91" s="23"/>
      <c r="I91" s="23"/>
      <c r="J91" s="23"/>
      <c r="K91" s="24"/>
      <c r="L91" s="24"/>
    </row>
    <row r="92" ht="15.75" customHeight="1">
      <c r="A92" s="23"/>
      <c r="B92" s="23"/>
      <c r="E92" s="23"/>
      <c r="G92" s="23"/>
      <c r="H92" s="23"/>
      <c r="I92" s="23"/>
      <c r="J92" s="23"/>
      <c r="K92" s="24"/>
      <c r="L92" s="24"/>
    </row>
    <row r="93" ht="15.75" customHeight="1">
      <c r="A93" s="23"/>
      <c r="B93" s="23"/>
      <c r="E93" s="23"/>
      <c r="G93" s="23"/>
      <c r="H93" s="23"/>
      <c r="I93" s="23"/>
      <c r="J93" s="23"/>
      <c r="K93" s="24"/>
      <c r="L93" s="24"/>
    </row>
    <row r="94" ht="15.75" customHeight="1">
      <c r="A94" s="23"/>
      <c r="B94" s="23"/>
      <c r="E94" s="23"/>
      <c r="G94" s="23"/>
      <c r="H94" s="23"/>
      <c r="I94" s="23"/>
      <c r="J94" s="23"/>
      <c r="K94" s="24"/>
      <c r="L94" s="24"/>
    </row>
    <row r="95" ht="15.75" customHeight="1">
      <c r="A95" s="23"/>
      <c r="B95" s="23"/>
      <c r="E95" s="23"/>
      <c r="G95" s="23"/>
      <c r="H95" s="23"/>
      <c r="I95" s="23"/>
      <c r="J95" s="23"/>
      <c r="K95" s="24"/>
      <c r="L95" s="24"/>
    </row>
    <row r="96" ht="15.75" customHeight="1">
      <c r="A96" s="23"/>
      <c r="B96" s="23"/>
      <c r="E96" s="23"/>
      <c r="G96" s="23"/>
      <c r="H96" s="23"/>
      <c r="I96" s="23"/>
      <c r="J96" s="23"/>
      <c r="K96" s="24"/>
      <c r="L96" s="24"/>
    </row>
    <row r="97" ht="15.75" customHeight="1">
      <c r="A97" s="23"/>
      <c r="B97" s="23"/>
      <c r="E97" s="23"/>
      <c r="G97" s="23"/>
      <c r="H97" s="23"/>
      <c r="I97" s="23"/>
      <c r="J97" s="23"/>
      <c r="K97" s="24"/>
      <c r="L97" s="24"/>
    </row>
    <row r="98" ht="15.75" customHeight="1">
      <c r="A98" s="23"/>
      <c r="B98" s="23"/>
      <c r="E98" s="23"/>
      <c r="G98" s="23"/>
      <c r="H98" s="23"/>
      <c r="I98" s="23"/>
      <c r="J98" s="23"/>
      <c r="K98" s="24"/>
      <c r="L98" s="24"/>
    </row>
    <row r="99" ht="15.75" customHeight="1">
      <c r="A99" s="23"/>
      <c r="B99" s="23"/>
      <c r="E99" s="23"/>
      <c r="G99" s="23"/>
      <c r="H99" s="23"/>
      <c r="I99" s="23"/>
      <c r="J99" s="23"/>
      <c r="K99" s="24"/>
      <c r="L99" s="24"/>
    </row>
    <row r="100" ht="15.75" customHeight="1">
      <c r="A100" s="23"/>
      <c r="B100" s="23"/>
      <c r="E100" s="23"/>
      <c r="G100" s="23"/>
      <c r="H100" s="23"/>
      <c r="I100" s="23"/>
      <c r="J100" s="23"/>
      <c r="K100" s="24"/>
      <c r="L100" s="24"/>
    </row>
    <row r="101" ht="15.75" customHeight="1">
      <c r="A101" s="23"/>
      <c r="B101" s="23"/>
      <c r="E101" s="23"/>
      <c r="G101" s="23"/>
      <c r="H101" s="23"/>
      <c r="I101" s="23"/>
      <c r="J101" s="23"/>
      <c r="K101" s="24"/>
      <c r="L101" s="24"/>
    </row>
    <row r="102" ht="15.75" customHeight="1">
      <c r="A102" s="23"/>
      <c r="B102" s="23"/>
      <c r="E102" s="23"/>
      <c r="G102" s="23"/>
      <c r="H102" s="23"/>
      <c r="I102" s="23"/>
      <c r="J102" s="23"/>
      <c r="K102" s="24"/>
      <c r="L102" s="24"/>
    </row>
    <row r="103" ht="15.75" customHeight="1">
      <c r="A103" s="23"/>
      <c r="B103" s="23"/>
      <c r="E103" s="23"/>
      <c r="G103" s="23"/>
      <c r="H103" s="23"/>
      <c r="I103" s="23"/>
      <c r="J103" s="23"/>
      <c r="K103" s="24"/>
      <c r="L103" s="24"/>
    </row>
    <row r="104" ht="15.75" customHeight="1">
      <c r="A104" s="23"/>
      <c r="B104" s="23"/>
      <c r="E104" s="23"/>
      <c r="G104" s="23"/>
      <c r="H104" s="23"/>
      <c r="I104" s="23"/>
      <c r="J104" s="23"/>
      <c r="K104" s="24"/>
      <c r="L104" s="24"/>
    </row>
    <row r="105" ht="15.75" customHeight="1">
      <c r="A105" s="23"/>
      <c r="B105" s="23"/>
      <c r="E105" s="23"/>
      <c r="G105" s="23"/>
      <c r="H105" s="23"/>
      <c r="I105" s="23"/>
      <c r="J105" s="23"/>
      <c r="K105" s="24"/>
      <c r="L105" s="24"/>
    </row>
    <row r="106" ht="15.75" customHeight="1">
      <c r="A106" s="23"/>
      <c r="B106" s="23"/>
      <c r="E106" s="23"/>
      <c r="G106" s="23"/>
      <c r="H106" s="23"/>
      <c r="I106" s="23"/>
      <c r="J106" s="23"/>
      <c r="K106" s="24"/>
      <c r="L106" s="24"/>
    </row>
    <row r="107" ht="15.75" customHeight="1">
      <c r="A107" s="23"/>
      <c r="B107" s="23"/>
      <c r="E107" s="23"/>
      <c r="G107" s="23"/>
      <c r="H107" s="23"/>
      <c r="I107" s="23"/>
      <c r="J107" s="23"/>
      <c r="K107" s="24"/>
      <c r="L107" s="24"/>
    </row>
    <row r="108" ht="15.75" customHeight="1">
      <c r="A108" s="23"/>
      <c r="B108" s="23"/>
      <c r="E108" s="23"/>
      <c r="G108" s="23"/>
      <c r="H108" s="23"/>
      <c r="I108" s="23"/>
      <c r="J108" s="23"/>
      <c r="K108" s="24"/>
      <c r="L108" s="24"/>
    </row>
    <row r="109" ht="15.75" customHeight="1">
      <c r="A109" s="23"/>
      <c r="B109" s="23"/>
      <c r="E109" s="23"/>
      <c r="G109" s="23"/>
      <c r="H109" s="23"/>
      <c r="I109" s="23"/>
      <c r="J109" s="23"/>
      <c r="K109" s="24"/>
      <c r="L109" s="24"/>
    </row>
    <row r="110" ht="15.75" customHeight="1">
      <c r="A110" s="23"/>
      <c r="B110" s="23"/>
      <c r="E110" s="23"/>
      <c r="G110" s="23"/>
      <c r="H110" s="23"/>
      <c r="I110" s="23"/>
      <c r="J110" s="23"/>
      <c r="K110" s="24"/>
      <c r="L110" s="24"/>
    </row>
    <row r="111" ht="15.75" customHeight="1">
      <c r="A111" s="23"/>
      <c r="B111" s="23"/>
      <c r="E111" s="23"/>
      <c r="G111" s="23"/>
      <c r="H111" s="23"/>
      <c r="I111" s="23"/>
      <c r="J111" s="23"/>
      <c r="K111" s="24"/>
      <c r="L111" s="24"/>
    </row>
    <row r="112" ht="15.75" customHeight="1">
      <c r="A112" s="23"/>
      <c r="B112" s="23"/>
      <c r="E112" s="23"/>
      <c r="G112" s="23"/>
      <c r="H112" s="23"/>
      <c r="I112" s="23"/>
      <c r="J112" s="23"/>
      <c r="K112" s="24"/>
      <c r="L112" s="24"/>
    </row>
    <row r="113" ht="15.75" customHeight="1">
      <c r="A113" s="23"/>
      <c r="B113" s="23"/>
      <c r="E113" s="23"/>
      <c r="G113" s="23"/>
      <c r="H113" s="23"/>
      <c r="I113" s="23"/>
      <c r="J113" s="23"/>
      <c r="K113" s="24"/>
      <c r="L113" s="24"/>
    </row>
    <row r="114" ht="15.75" customHeight="1">
      <c r="A114" s="23"/>
      <c r="B114" s="23"/>
      <c r="E114" s="23"/>
      <c r="G114" s="23"/>
      <c r="H114" s="23"/>
      <c r="I114" s="23"/>
      <c r="J114" s="23"/>
      <c r="K114" s="24"/>
      <c r="L114" s="24"/>
    </row>
    <row r="115" ht="15.75" customHeight="1">
      <c r="A115" s="23"/>
      <c r="B115" s="23"/>
      <c r="E115" s="23"/>
      <c r="G115" s="23"/>
      <c r="H115" s="23"/>
      <c r="I115" s="23"/>
      <c r="J115" s="23"/>
      <c r="K115" s="24"/>
      <c r="L115" s="24"/>
    </row>
    <row r="116" ht="15.75" customHeight="1">
      <c r="A116" s="23"/>
      <c r="B116" s="23"/>
      <c r="E116" s="23"/>
      <c r="G116" s="23"/>
      <c r="H116" s="23"/>
      <c r="I116" s="23"/>
      <c r="J116" s="23"/>
      <c r="K116" s="24"/>
      <c r="L116" s="24"/>
    </row>
    <row r="117" ht="15.75" customHeight="1">
      <c r="A117" s="23"/>
      <c r="B117" s="23"/>
      <c r="E117" s="23"/>
      <c r="G117" s="23"/>
      <c r="H117" s="23"/>
      <c r="I117" s="23"/>
      <c r="J117" s="23"/>
      <c r="K117" s="24"/>
      <c r="L117" s="24"/>
    </row>
    <row r="118" ht="15.75" customHeight="1">
      <c r="A118" s="23"/>
      <c r="B118" s="23"/>
      <c r="E118" s="23"/>
      <c r="G118" s="23"/>
      <c r="H118" s="23"/>
      <c r="I118" s="23"/>
      <c r="J118" s="23"/>
      <c r="K118" s="24"/>
      <c r="L118" s="24"/>
    </row>
    <row r="119" ht="15.75" customHeight="1">
      <c r="A119" s="23"/>
      <c r="B119" s="23"/>
      <c r="E119" s="23"/>
      <c r="G119" s="23"/>
      <c r="H119" s="23"/>
      <c r="I119" s="23"/>
      <c r="J119" s="23"/>
      <c r="K119" s="24"/>
      <c r="L119" s="24"/>
    </row>
    <row r="120" ht="15.75" customHeight="1">
      <c r="A120" s="23"/>
      <c r="B120" s="23"/>
      <c r="E120" s="23"/>
      <c r="G120" s="23"/>
      <c r="H120" s="23"/>
      <c r="I120" s="23"/>
      <c r="J120" s="23"/>
      <c r="K120" s="24"/>
      <c r="L120" s="24"/>
    </row>
    <row r="121" ht="15.75" customHeight="1">
      <c r="A121" s="23"/>
      <c r="B121" s="23"/>
      <c r="E121" s="23"/>
      <c r="G121" s="23"/>
      <c r="H121" s="23"/>
      <c r="I121" s="23"/>
      <c r="J121" s="23"/>
      <c r="K121" s="24"/>
      <c r="L121" s="24"/>
    </row>
    <row r="122" ht="15.75" customHeight="1">
      <c r="A122" s="23"/>
      <c r="B122" s="23"/>
      <c r="E122" s="23"/>
      <c r="G122" s="23"/>
      <c r="H122" s="23"/>
      <c r="I122" s="23"/>
      <c r="J122" s="23"/>
      <c r="K122" s="24"/>
      <c r="L122" s="24"/>
    </row>
    <row r="123" ht="15.75" customHeight="1">
      <c r="A123" s="23"/>
      <c r="B123" s="23"/>
      <c r="E123" s="23"/>
      <c r="G123" s="23"/>
      <c r="H123" s="23"/>
      <c r="I123" s="23"/>
      <c r="J123" s="23"/>
      <c r="K123" s="24"/>
      <c r="L123" s="24"/>
    </row>
    <row r="124" ht="15.75" customHeight="1">
      <c r="A124" s="23"/>
      <c r="B124" s="23"/>
      <c r="E124" s="23"/>
      <c r="G124" s="23"/>
      <c r="H124" s="23"/>
      <c r="I124" s="23"/>
      <c r="J124" s="23"/>
      <c r="K124" s="24"/>
      <c r="L124" s="24"/>
    </row>
    <row r="125" ht="15.75" customHeight="1">
      <c r="A125" s="23"/>
      <c r="B125" s="23"/>
      <c r="E125" s="23"/>
      <c r="G125" s="23"/>
      <c r="H125" s="23"/>
      <c r="I125" s="23"/>
      <c r="J125" s="23"/>
      <c r="K125" s="24"/>
      <c r="L125" s="24"/>
    </row>
    <row r="126" ht="15.75" customHeight="1">
      <c r="A126" s="23"/>
      <c r="B126" s="23"/>
      <c r="E126" s="23"/>
      <c r="G126" s="23"/>
      <c r="H126" s="23"/>
      <c r="I126" s="23"/>
      <c r="J126" s="23"/>
      <c r="K126" s="24"/>
      <c r="L126" s="24"/>
    </row>
    <row r="127" ht="15.75" customHeight="1">
      <c r="A127" s="23"/>
      <c r="B127" s="23"/>
      <c r="E127" s="23"/>
      <c r="G127" s="23"/>
      <c r="H127" s="23"/>
      <c r="I127" s="23"/>
      <c r="J127" s="23"/>
      <c r="K127" s="24"/>
      <c r="L127" s="24"/>
    </row>
    <row r="128" ht="15.75" customHeight="1">
      <c r="A128" s="23"/>
      <c r="B128" s="23"/>
      <c r="E128" s="23"/>
      <c r="G128" s="23"/>
      <c r="H128" s="23"/>
      <c r="I128" s="23"/>
      <c r="J128" s="23"/>
      <c r="K128" s="24"/>
      <c r="L128" s="24"/>
    </row>
    <row r="129" ht="15.75" customHeight="1">
      <c r="A129" s="23"/>
      <c r="B129" s="23"/>
      <c r="E129" s="23"/>
      <c r="G129" s="23"/>
      <c r="H129" s="23"/>
      <c r="I129" s="23"/>
      <c r="J129" s="23"/>
      <c r="K129" s="24"/>
      <c r="L129" s="24"/>
    </row>
    <row r="130" ht="15.75" customHeight="1">
      <c r="A130" s="23"/>
      <c r="B130" s="23"/>
      <c r="E130" s="23"/>
      <c r="G130" s="23"/>
      <c r="H130" s="23"/>
      <c r="I130" s="23"/>
      <c r="J130" s="23"/>
      <c r="K130" s="24"/>
      <c r="L130" s="24"/>
    </row>
    <row r="131" ht="15.75" customHeight="1">
      <c r="A131" s="23"/>
      <c r="B131" s="23"/>
      <c r="E131" s="23"/>
      <c r="G131" s="23"/>
      <c r="H131" s="23"/>
      <c r="I131" s="23"/>
      <c r="J131" s="23"/>
      <c r="K131" s="24"/>
      <c r="L131" s="24"/>
    </row>
    <row r="132" ht="15.75" customHeight="1">
      <c r="A132" s="23"/>
      <c r="B132" s="23"/>
      <c r="E132" s="23"/>
      <c r="G132" s="23"/>
      <c r="H132" s="23"/>
      <c r="I132" s="23"/>
      <c r="J132" s="23"/>
      <c r="K132" s="24"/>
      <c r="L132" s="24"/>
    </row>
    <row r="133" ht="15.75" customHeight="1">
      <c r="A133" s="23"/>
      <c r="B133" s="23"/>
      <c r="E133" s="23"/>
      <c r="G133" s="23"/>
      <c r="H133" s="23"/>
      <c r="I133" s="23"/>
      <c r="J133" s="23"/>
      <c r="K133" s="24"/>
      <c r="L133" s="24"/>
    </row>
    <row r="134" ht="15.75" customHeight="1">
      <c r="A134" s="23"/>
      <c r="B134" s="23"/>
      <c r="E134" s="23"/>
      <c r="G134" s="23"/>
      <c r="H134" s="23"/>
      <c r="I134" s="23"/>
      <c r="J134" s="23"/>
      <c r="K134" s="24"/>
      <c r="L134" s="24"/>
    </row>
    <row r="135" ht="15.75" customHeight="1">
      <c r="A135" s="23"/>
      <c r="B135" s="23"/>
      <c r="E135" s="23"/>
      <c r="G135" s="23"/>
      <c r="H135" s="23"/>
      <c r="I135" s="23"/>
      <c r="J135" s="23"/>
      <c r="K135" s="24"/>
      <c r="L135" s="24"/>
    </row>
    <row r="136" ht="15.75" customHeight="1">
      <c r="A136" s="23"/>
      <c r="B136" s="23"/>
      <c r="E136" s="23"/>
      <c r="G136" s="23"/>
      <c r="H136" s="23"/>
      <c r="I136" s="23"/>
      <c r="J136" s="23"/>
      <c r="K136" s="24"/>
      <c r="L136" s="24"/>
    </row>
    <row r="137" ht="15.75" customHeight="1">
      <c r="A137" s="23"/>
      <c r="B137" s="23"/>
      <c r="E137" s="23"/>
      <c r="G137" s="23"/>
      <c r="H137" s="23"/>
      <c r="I137" s="23"/>
      <c r="J137" s="23"/>
      <c r="K137" s="24"/>
      <c r="L137" s="24"/>
    </row>
    <row r="138" ht="15.75" customHeight="1">
      <c r="A138" s="23"/>
      <c r="B138" s="23"/>
      <c r="E138" s="23"/>
      <c r="G138" s="23"/>
      <c r="H138" s="23"/>
      <c r="I138" s="23"/>
      <c r="J138" s="23"/>
      <c r="K138" s="24"/>
      <c r="L138" s="24"/>
    </row>
    <row r="139" ht="15.75" customHeight="1">
      <c r="A139" s="23"/>
      <c r="B139" s="23"/>
      <c r="E139" s="23"/>
      <c r="G139" s="23"/>
      <c r="H139" s="23"/>
      <c r="I139" s="23"/>
      <c r="J139" s="23"/>
      <c r="K139" s="24"/>
      <c r="L139" s="24"/>
    </row>
    <row r="140" ht="15.75" customHeight="1">
      <c r="A140" s="23"/>
      <c r="B140" s="23"/>
      <c r="E140" s="23"/>
      <c r="G140" s="23"/>
      <c r="H140" s="23"/>
      <c r="I140" s="23"/>
      <c r="J140" s="23"/>
      <c r="K140" s="24"/>
      <c r="L140" s="24"/>
    </row>
    <row r="141" ht="15.75" customHeight="1">
      <c r="A141" s="23"/>
      <c r="B141" s="23"/>
      <c r="E141" s="23"/>
      <c r="G141" s="23"/>
      <c r="H141" s="23"/>
      <c r="I141" s="23"/>
      <c r="J141" s="23"/>
      <c r="K141" s="24"/>
      <c r="L141" s="24"/>
    </row>
    <row r="142" ht="15.75" customHeight="1">
      <c r="A142" s="23"/>
      <c r="B142" s="23"/>
      <c r="E142" s="23"/>
      <c r="G142" s="23"/>
      <c r="H142" s="23"/>
      <c r="I142" s="23"/>
      <c r="J142" s="23"/>
      <c r="K142" s="24"/>
      <c r="L142" s="24"/>
    </row>
    <row r="143" ht="15.75" customHeight="1">
      <c r="A143" s="23"/>
      <c r="B143" s="23"/>
      <c r="E143" s="23"/>
      <c r="G143" s="23"/>
      <c r="H143" s="23"/>
      <c r="I143" s="23"/>
      <c r="J143" s="23"/>
      <c r="K143" s="24"/>
      <c r="L143" s="24"/>
    </row>
    <row r="144" ht="15.75" customHeight="1">
      <c r="A144" s="23"/>
      <c r="B144" s="23"/>
      <c r="E144" s="23"/>
      <c r="G144" s="23"/>
      <c r="H144" s="23"/>
      <c r="I144" s="23"/>
      <c r="J144" s="23"/>
      <c r="K144" s="24"/>
      <c r="L144" s="24"/>
    </row>
    <row r="145" ht="15.75" customHeight="1">
      <c r="A145" s="23"/>
      <c r="B145" s="23"/>
      <c r="E145" s="23"/>
      <c r="G145" s="23"/>
      <c r="H145" s="23"/>
      <c r="I145" s="23"/>
      <c r="J145" s="23"/>
      <c r="K145" s="24"/>
      <c r="L145" s="24"/>
    </row>
    <row r="146" ht="15.75" customHeight="1">
      <c r="A146" s="23"/>
      <c r="B146" s="23"/>
      <c r="E146" s="23"/>
      <c r="G146" s="23"/>
      <c r="H146" s="23"/>
      <c r="I146" s="23"/>
      <c r="J146" s="23"/>
      <c r="K146" s="24"/>
      <c r="L146" s="24"/>
    </row>
    <row r="147" ht="15.75" customHeight="1">
      <c r="A147" s="23"/>
      <c r="B147" s="23"/>
      <c r="E147" s="23"/>
      <c r="G147" s="23"/>
      <c r="H147" s="23"/>
      <c r="I147" s="23"/>
      <c r="J147" s="23"/>
      <c r="K147" s="24"/>
      <c r="L147" s="24"/>
    </row>
    <row r="148" ht="15.75" customHeight="1">
      <c r="A148" s="23"/>
      <c r="B148" s="23"/>
      <c r="E148" s="23"/>
      <c r="G148" s="23"/>
      <c r="H148" s="23"/>
      <c r="I148" s="23"/>
      <c r="J148" s="23"/>
      <c r="K148" s="24"/>
      <c r="L148" s="24"/>
    </row>
    <row r="149" ht="15.75" customHeight="1">
      <c r="A149" s="23"/>
      <c r="B149" s="23"/>
      <c r="E149" s="23"/>
      <c r="G149" s="23"/>
      <c r="H149" s="23"/>
      <c r="I149" s="23"/>
      <c r="J149" s="23"/>
      <c r="K149" s="24"/>
      <c r="L149" s="24"/>
    </row>
    <row r="150" ht="15.75" customHeight="1">
      <c r="A150" s="23"/>
      <c r="B150" s="23"/>
      <c r="E150" s="23"/>
      <c r="G150" s="23"/>
      <c r="H150" s="23"/>
      <c r="I150" s="23"/>
      <c r="J150" s="23"/>
      <c r="K150" s="24"/>
      <c r="L150" s="24"/>
    </row>
    <row r="151" ht="15.75" customHeight="1">
      <c r="A151" s="23"/>
      <c r="B151" s="23"/>
      <c r="E151" s="23"/>
      <c r="G151" s="23"/>
      <c r="H151" s="23"/>
      <c r="I151" s="23"/>
      <c r="J151" s="23"/>
      <c r="K151" s="24"/>
      <c r="L151" s="24"/>
    </row>
    <row r="152" ht="15.75" customHeight="1">
      <c r="A152" s="23"/>
      <c r="B152" s="23"/>
      <c r="E152" s="23"/>
      <c r="G152" s="23"/>
      <c r="H152" s="23"/>
      <c r="I152" s="23"/>
      <c r="J152" s="23"/>
      <c r="K152" s="24"/>
      <c r="L152" s="24"/>
    </row>
    <row r="153" ht="15.75" customHeight="1">
      <c r="A153" s="23"/>
      <c r="B153" s="23"/>
      <c r="E153" s="23"/>
      <c r="G153" s="23"/>
      <c r="H153" s="23"/>
      <c r="I153" s="23"/>
      <c r="J153" s="23"/>
      <c r="K153" s="24"/>
      <c r="L153" s="24"/>
    </row>
    <row r="154" ht="15.75" customHeight="1">
      <c r="A154" s="23"/>
      <c r="B154" s="23"/>
      <c r="E154" s="23"/>
      <c r="G154" s="23"/>
      <c r="H154" s="23"/>
      <c r="I154" s="23"/>
      <c r="J154" s="23"/>
      <c r="K154" s="24"/>
      <c r="L154" s="24"/>
    </row>
    <row r="155" ht="15.75" customHeight="1">
      <c r="A155" s="23"/>
      <c r="B155" s="23"/>
      <c r="E155" s="23"/>
      <c r="G155" s="23"/>
      <c r="H155" s="23"/>
      <c r="I155" s="23"/>
      <c r="J155" s="23"/>
      <c r="K155" s="24"/>
      <c r="L155" s="24"/>
    </row>
    <row r="156" ht="15.75" customHeight="1">
      <c r="A156" s="23"/>
      <c r="B156" s="23"/>
      <c r="E156" s="23"/>
      <c r="G156" s="23"/>
      <c r="H156" s="23"/>
      <c r="I156" s="23"/>
      <c r="J156" s="23"/>
      <c r="K156" s="24"/>
      <c r="L156" s="24"/>
    </row>
    <row r="157" ht="15.75" customHeight="1">
      <c r="A157" s="23"/>
      <c r="B157" s="23"/>
      <c r="E157" s="23"/>
      <c r="G157" s="23"/>
      <c r="H157" s="23"/>
      <c r="I157" s="23"/>
      <c r="J157" s="23"/>
      <c r="K157" s="24"/>
      <c r="L157" s="24"/>
    </row>
    <row r="158" ht="15.75" customHeight="1">
      <c r="A158" s="23"/>
      <c r="B158" s="23"/>
      <c r="E158" s="23"/>
      <c r="G158" s="23"/>
      <c r="H158" s="23"/>
      <c r="I158" s="23"/>
      <c r="J158" s="23"/>
      <c r="K158" s="24"/>
      <c r="L158" s="24"/>
    </row>
    <row r="159" ht="15.75" customHeight="1">
      <c r="A159" s="23"/>
      <c r="B159" s="23"/>
      <c r="E159" s="23"/>
      <c r="G159" s="23"/>
      <c r="H159" s="23"/>
      <c r="I159" s="23"/>
      <c r="J159" s="23"/>
      <c r="K159" s="24"/>
      <c r="L159" s="24"/>
    </row>
    <row r="160" ht="15.75" customHeight="1">
      <c r="A160" s="23"/>
      <c r="B160" s="23"/>
      <c r="E160" s="23"/>
      <c r="G160" s="23"/>
      <c r="H160" s="23"/>
      <c r="I160" s="23"/>
      <c r="J160" s="23"/>
      <c r="K160" s="24"/>
      <c r="L160" s="24"/>
    </row>
    <row r="161" ht="15.75" customHeight="1">
      <c r="A161" s="23"/>
      <c r="B161" s="23"/>
      <c r="E161" s="23"/>
      <c r="G161" s="23"/>
      <c r="H161" s="23"/>
      <c r="I161" s="23"/>
      <c r="J161" s="23"/>
      <c r="K161" s="24"/>
      <c r="L161" s="24"/>
    </row>
    <row r="162" ht="15.75" customHeight="1">
      <c r="A162" s="23"/>
      <c r="B162" s="23"/>
      <c r="E162" s="23"/>
      <c r="G162" s="23"/>
      <c r="H162" s="23"/>
      <c r="I162" s="23"/>
      <c r="J162" s="23"/>
      <c r="K162" s="24"/>
      <c r="L162" s="24"/>
    </row>
    <row r="163" ht="15.75" customHeight="1">
      <c r="A163" s="23"/>
      <c r="B163" s="23"/>
      <c r="E163" s="23"/>
      <c r="G163" s="23"/>
      <c r="H163" s="23"/>
      <c r="I163" s="23"/>
      <c r="J163" s="23"/>
      <c r="K163" s="24"/>
      <c r="L163" s="24"/>
    </row>
    <row r="164" ht="15.75" customHeight="1">
      <c r="A164" s="23"/>
      <c r="B164" s="23"/>
      <c r="E164" s="23"/>
      <c r="G164" s="23"/>
      <c r="H164" s="23"/>
      <c r="I164" s="23"/>
      <c r="J164" s="23"/>
      <c r="K164" s="24"/>
      <c r="L164" s="24"/>
    </row>
    <row r="165" ht="15.75" customHeight="1">
      <c r="A165" s="23"/>
      <c r="B165" s="23"/>
      <c r="E165" s="23"/>
      <c r="G165" s="23"/>
      <c r="H165" s="23"/>
      <c r="I165" s="23"/>
      <c r="J165" s="23"/>
      <c r="K165" s="24"/>
      <c r="L165" s="24"/>
    </row>
    <row r="166" ht="15.75" customHeight="1">
      <c r="A166" s="23"/>
      <c r="B166" s="23"/>
      <c r="E166" s="23"/>
      <c r="G166" s="23"/>
      <c r="H166" s="23"/>
      <c r="I166" s="23"/>
      <c r="J166" s="23"/>
      <c r="K166" s="24"/>
      <c r="L166" s="24"/>
    </row>
    <row r="167" ht="15.75" customHeight="1">
      <c r="A167" s="23"/>
      <c r="B167" s="23"/>
      <c r="E167" s="23"/>
      <c r="G167" s="23"/>
      <c r="H167" s="23"/>
      <c r="I167" s="23"/>
      <c r="J167" s="23"/>
      <c r="K167" s="24"/>
      <c r="L167" s="24"/>
    </row>
    <row r="168" ht="15.75" customHeight="1">
      <c r="A168" s="23"/>
      <c r="B168" s="23"/>
      <c r="E168" s="23"/>
      <c r="G168" s="23"/>
      <c r="H168" s="23"/>
      <c r="I168" s="23"/>
      <c r="J168" s="23"/>
      <c r="K168" s="24"/>
      <c r="L168" s="24"/>
    </row>
    <row r="169" ht="15.75" customHeight="1">
      <c r="A169" s="23"/>
      <c r="B169" s="23"/>
      <c r="E169" s="23"/>
      <c r="G169" s="23"/>
      <c r="H169" s="23"/>
      <c r="I169" s="23"/>
      <c r="J169" s="23"/>
      <c r="K169" s="24"/>
      <c r="L169" s="24"/>
    </row>
    <row r="170" ht="15.75" customHeight="1">
      <c r="A170" s="23"/>
      <c r="B170" s="23"/>
      <c r="E170" s="23"/>
      <c r="G170" s="23"/>
      <c r="H170" s="23"/>
      <c r="I170" s="23"/>
      <c r="J170" s="23"/>
      <c r="K170" s="24"/>
      <c r="L170" s="24"/>
    </row>
    <row r="171" ht="15.75" customHeight="1">
      <c r="A171" s="23"/>
      <c r="B171" s="23"/>
      <c r="E171" s="23"/>
      <c r="G171" s="23"/>
      <c r="H171" s="23"/>
      <c r="I171" s="23"/>
      <c r="J171" s="23"/>
      <c r="K171" s="24"/>
      <c r="L171" s="24"/>
    </row>
    <row r="172" ht="15.75" customHeight="1">
      <c r="A172" s="23"/>
      <c r="B172" s="23"/>
      <c r="E172" s="23"/>
      <c r="G172" s="23"/>
      <c r="H172" s="23"/>
      <c r="I172" s="23"/>
      <c r="J172" s="23"/>
      <c r="K172" s="24"/>
      <c r="L172" s="24"/>
    </row>
    <row r="173" ht="15.75" customHeight="1">
      <c r="A173" s="23"/>
      <c r="B173" s="23"/>
      <c r="E173" s="23"/>
      <c r="G173" s="23"/>
      <c r="H173" s="23"/>
      <c r="I173" s="23"/>
      <c r="J173" s="23"/>
      <c r="K173" s="24"/>
      <c r="L173" s="24"/>
    </row>
    <row r="174" ht="15.75" customHeight="1">
      <c r="A174" s="23"/>
      <c r="B174" s="23"/>
      <c r="E174" s="23"/>
      <c r="G174" s="23"/>
      <c r="H174" s="23"/>
      <c r="I174" s="23"/>
      <c r="J174" s="23"/>
      <c r="K174" s="24"/>
      <c r="L174" s="24"/>
    </row>
    <row r="175" ht="15.75" customHeight="1">
      <c r="A175" s="23"/>
      <c r="B175" s="23"/>
      <c r="E175" s="23"/>
      <c r="G175" s="23"/>
      <c r="H175" s="23"/>
      <c r="I175" s="23"/>
      <c r="J175" s="23"/>
      <c r="K175" s="24"/>
      <c r="L175" s="24"/>
    </row>
    <row r="176" ht="15.75" customHeight="1">
      <c r="A176" s="23"/>
      <c r="B176" s="23"/>
      <c r="E176" s="23"/>
      <c r="G176" s="23"/>
      <c r="H176" s="23"/>
      <c r="I176" s="23"/>
      <c r="J176" s="23"/>
      <c r="K176" s="24"/>
      <c r="L176" s="24"/>
    </row>
    <row r="177" ht="15.75" customHeight="1">
      <c r="A177" s="23"/>
      <c r="B177" s="23"/>
      <c r="E177" s="23"/>
      <c r="G177" s="23"/>
      <c r="H177" s="23"/>
      <c r="I177" s="23"/>
      <c r="J177" s="23"/>
      <c r="K177" s="24"/>
      <c r="L177" s="24"/>
    </row>
    <row r="178" ht="15.75" customHeight="1">
      <c r="A178" s="23"/>
      <c r="B178" s="23"/>
      <c r="E178" s="23"/>
      <c r="G178" s="23"/>
      <c r="H178" s="23"/>
      <c r="I178" s="23"/>
      <c r="J178" s="23"/>
      <c r="K178" s="24"/>
      <c r="L178" s="24"/>
    </row>
    <row r="179" ht="15.75" customHeight="1">
      <c r="A179" s="23"/>
      <c r="B179" s="23"/>
      <c r="E179" s="23"/>
      <c r="G179" s="23"/>
      <c r="H179" s="23"/>
      <c r="I179" s="23"/>
      <c r="J179" s="23"/>
      <c r="K179" s="24"/>
      <c r="L179" s="24"/>
    </row>
    <row r="180" ht="15.75" customHeight="1">
      <c r="A180" s="23"/>
      <c r="B180" s="23"/>
      <c r="E180" s="23"/>
      <c r="G180" s="23"/>
      <c r="H180" s="23"/>
      <c r="I180" s="23"/>
      <c r="J180" s="23"/>
      <c r="K180" s="24"/>
      <c r="L180" s="24"/>
    </row>
    <row r="181" ht="15.75" customHeight="1">
      <c r="A181" s="23"/>
      <c r="B181" s="23"/>
      <c r="E181" s="23"/>
      <c r="G181" s="23"/>
      <c r="H181" s="23"/>
      <c r="I181" s="23"/>
      <c r="J181" s="23"/>
      <c r="K181" s="24"/>
      <c r="L181" s="24"/>
    </row>
    <row r="182" ht="15.75" customHeight="1">
      <c r="A182" s="23"/>
      <c r="B182" s="23"/>
      <c r="E182" s="23"/>
      <c r="G182" s="23"/>
      <c r="H182" s="23"/>
      <c r="I182" s="23"/>
      <c r="J182" s="23"/>
      <c r="K182" s="24"/>
      <c r="L182" s="24"/>
    </row>
    <row r="183" ht="15.75" customHeight="1">
      <c r="A183" s="23"/>
      <c r="B183" s="23"/>
      <c r="E183" s="23"/>
      <c r="G183" s="23"/>
      <c r="H183" s="23"/>
      <c r="I183" s="23"/>
      <c r="J183" s="23"/>
      <c r="K183" s="24"/>
      <c r="L183" s="24"/>
    </row>
    <row r="184" ht="15.75" customHeight="1">
      <c r="A184" s="23"/>
      <c r="B184" s="23"/>
      <c r="E184" s="23"/>
      <c r="G184" s="23"/>
      <c r="H184" s="23"/>
      <c r="I184" s="23"/>
      <c r="J184" s="23"/>
      <c r="K184" s="24"/>
      <c r="L184" s="24"/>
    </row>
    <row r="185" ht="15.75" customHeight="1">
      <c r="A185" s="23"/>
      <c r="B185" s="23"/>
      <c r="E185" s="23"/>
      <c r="G185" s="23"/>
      <c r="H185" s="23"/>
      <c r="I185" s="23"/>
      <c r="J185" s="23"/>
      <c r="K185" s="24"/>
      <c r="L185" s="24"/>
    </row>
    <row r="186" ht="15.75" customHeight="1">
      <c r="A186" s="23"/>
      <c r="B186" s="23"/>
      <c r="E186" s="23"/>
      <c r="G186" s="23"/>
      <c r="H186" s="23"/>
      <c r="I186" s="23"/>
      <c r="J186" s="23"/>
      <c r="K186" s="24"/>
      <c r="L186" s="24"/>
    </row>
    <row r="187" ht="15.75" customHeight="1">
      <c r="A187" s="23"/>
      <c r="B187" s="23"/>
      <c r="E187" s="23"/>
      <c r="G187" s="23"/>
      <c r="H187" s="23"/>
      <c r="I187" s="23"/>
      <c r="J187" s="23"/>
      <c r="K187" s="24"/>
      <c r="L187" s="24"/>
    </row>
    <row r="188" ht="15.75" customHeight="1">
      <c r="A188" s="23"/>
      <c r="B188" s="23"/>
      <c r="E188" s="23"/>
      <c r="G188" s="23"/>
      <c r="H188" s="23"/>
      <c r="I188" s="23"/>
      <c r="J188" s="23"/>
      <c r="K188" s="24"/>
      <c r="L188" s="24"/>
    </row>
    <row r="189" ht="15.75" customHeight="1">
      <c r="A189" s="23"/>
      <c r="B189" s="23"/>
      <c r="E189" s="23"/>
      <c r="G189" s="23"/>
      <c r="H189" s="23"/>
      <c r="I189" s="23"/>
      <c r="J189" s="23"/>
      <c r="K189" s="24"/>
      <c r="L189" s="24"/>
    </row>
    <row r="190" ht="15.75" customHeight="1">
      <c r="A190" s="23"/>
      <c r="B190" s="23"/>
      <c r="E190" s="23"/>
      <c r="G190" s="23"/>
      <c r="H190" s="23"/>
      <c r="I190" s="23"/>
      <c r="J190" s="23"/>
      <c r="K190" s="24"/>
      <c r="L190" s="24"/>
    </row>
    <row r="191" ht="15.75" customHeight="1">
      <c r="A191" s="23"/>
      <c r="B191" s="23"/>
      <c r="E191" s="23"/>
      <c r="G191" s="23"/>
      <c r="H191" s="23"/>
      <c r="I191" s="23"/>
      <c r="J191" s="23"/>
      <c r="K191" s="24"/>
      <c r="L191" s="24"/>
    </row>
    <row r="192" ht="15.75" customHeight="1">
      <c r="A192" s="23"/>
      <c r="B192" s="23"/>
      <c r="E192" s="23"/>
      <c r="G192" s="23"/>
      <c r="H192" s="23"/>
      <c r="I192" s="23"/>
      <c r="J192" s="23"/>
      <c r="K192" s="24"/>
      <c r="L192" s="24"/>
    </row>
    <row r="193" ht="15.75" customHeight="1">
      <c r="A193" s="23"/>
      <c r="B193" s="23"/>
      <c r="E193" s="23"/>
      <c r="G193" s="23"/>
      <c r="H193" s="23"/>
      <c r="I193" s="23"/>
      <c r="J193" s="23"/>
      <c r="K193" s="24"/>
      <c r="L193" s="24"/>
    </row>
    <row r="194" ht="15.75" customHeight="1">
      <c r="A194" s="23"/>
      <c r="B194" s="23"/>
      <c r="E194" s="23"/>
      <c r="G194" s="23"/>
      <c r="H194" s="23"/>
      <c r="I194" s="23"/>
      <c r="J194" s="23"/>
      <c r="K194" s="24"/>
      <c r="L194" s="24"/>
    </row>
    <row r="195" ht="15.75" customHeight="1">
      <c r="A195" s="23"/>
      <c r="B195" s="23"/>
      <c r="E195" s="23"/>
      <c r="G195" s="23"/>
      <c r="H195" s="23"/>
      <c r="I195" s="23"/>
      <c r="J195" s="23"/>
      <c r="K195" s="24"/>
      <c r="L195" s="24"/>
    </row>
    <row r="196" ht="15.75" customHeight="1">
      <c r="A196" s="23"/>
      <c r="B196" s="23"/>
      <c r="E196" s="23"/>
      <c r="G196" s="23"/>
      <c r="H196" s="23"/>
      <c r="I196" s="23"/>
      <c r="J196" s="23"/>
      <c r="K196" s="24"/>
      <c r="L196" s="24"/>
    </row>
    <row r="197" ht="15.75" customHeight="1">
      <c r="A197" s="23"/>
      <c r="B197" s="23"/>
      <c r="E197" s="23"/>
      <c r="G197" s="23"/>
      <c r="H197" s="23"/>
      <c r="I197" s="23"/>
      <c r="J197" s="23"/>
      <c r="K197" s="24"/>
      <c r="L197" s="24"/>
    </row>
    <row r="198" ht="15.75" customHeight="1">
      <c r="A198" s="23"/>
      <c r="B198" s="23"/>
      <c r="E198" s="23"/>
      <c r="G198" s="23"/>
      <c r="H198" s="23"/>
      <c r="I198" s="23"/>
      <c r="J198" s="23"/>
      <c r="K198" s="24"/>
      <c r="L198" s="24"/>
    </row>
    <row r="199" ht="15.75" customHeight="1">
      <c r="A199" s="23"/>
      <c r="B199" s="23"/>
      <c r="E199" s="23"/>
      <c r="G199" s="23"/>
      <c r="H199" s="23"/>
      <c r="I199" s="23"/>
      <c r="J199" s="23"/>
      <c r="K199" s="24"/>
      <c r="L199" s="24"/>
    </row>
    <row r="200" ht="15.75" customHeight="1">
      <c r="A200" s="23"/>
      <c r="B200" s="23"/>
      <c r="E200" s="23"/>
      <c r="G200" s="23"/>
      <c r="H200" s="23"/>
      <c r="I200" s="23"/>
      <c r="J200" s="23"/>
      <c r="K200" s="24"/>
      <c r="L200" s="24"/>
    </row>
    <row r="201" ht="15.75" customHeight="1">
      <c r="A201" s="23"/>
      <c r="B201" s="23"/>
      <c r="E201" s="23"/>
      <c r="G201" s="23"/>
      <c r="H201" s="23"/>
      <c r="I201" s="23"/>
      <c r="J201" s="23"/>
      <c r="K201" s="24"/>
      <c r="L201" s="24"/>
    </row>
    <row r="202" ht="15.75" customHeight="1">
      <c r="A202" s="23"/>
      <c r="B202" s="23"/>
      <c r="E202" s="23"/>
      <c r="G202" s="23"/>
      <c r="H202" s="23"/>
      <c r="I202" s="23"/>
      <c r="J202" s="23"/>
      <c r="K202" s="24"/>
      <c r="L202" s="24"/>
    </row>
    <row r="203" ht="15.75" customHeight="1">
      <c r="A203" s="23"/>
      <c r="B203" s="23"/>
      <c r="E203" s="23"/>
      <c r="G203" s="23"/>
      <c r="H203" s="23"/>
      <c r="I203" s="23"/>
      <c r="J203" s="23"/>
      <c r="K203" s="24"/>
      <c r="L203" s="24"/>
    </row>
    <row r="204" ht="15.75" customHeight="1">
      <c r="A204" s="23"/>
      <c r="B204" s="23"/>
      <c r="E204" s="23"/>
      <c r="G204" s="23"/>
      <c r="H204" s="23"/>
      <c r="I204" s="23"/>
      <c r="J204" s="23"/>
      <c r="K204" s="24"/>
      <c r="L204" s="24"/>
    </row>
    <row r="205" ht="15.75" customHeight="1">
      <c r="A205" s="23"/>
      <c r="B205" s="23"/>
      <c r="E205" s="23"/>
      <c r="G205" s="23"/>
      <c r="H205" s="23"/>
      <c r="I205" s="23"/>
      <c r="J205" s="23"/>
      <c r="K205" s="24"/>
      <c r="L205" s="24"/>
    </row>
    <row r="206" ht="15.75" customHeight="1">
      <c r="A206" s="23"/>
      <c r="B206" s="23"/>
      <c r="E206" s="23"/>
      <c r="G206" s="23"/>
      <c r="H206" s="23"/>
      <c r="I206" s="23"/>
      <c r="J206" s="23"/>
      <c r="K206" s="24"/>
      <c r="L206" s="24"/>
    </row>
    <row r="207" ht="15.75" customHeight="1">
      <c r="A207" s="23"/>
      <c r="B207" s="23"/>
      <c r="E207" s="23"/>
      <c r="G207" s="23"/>
      <c r="H207" s="23"/>
      <c r="I207" s="23"/>
      <c r="J207" s="23"/>
      <c r="K207" s="24"/>
      <c r="L207" s="24"/>
    </row>
    <row r="208" ht="15.75" customHeight="1">
      <c r="A208" s="23"/>
      <c r="B208" s="23"/>
      <c r="E208" s="23"/>
      <c r="G208" s="23"/>
      <c r="H208" s="23"/>
      <c r="I208" s="23"/>
      <c r="J208" s="23"/>
      <c r="K208" s="24"/>
      <c r="L208" s="24"/>
    </row>
    <row r="209" ht="15.75" customHeight="1">
      <c r="A209" s="23"/>
      <c r="B209" s="23"/>
      <c r="E209" s="23"/>
      <c r="G209" s="23"/>
      <c r="H209" s="23"/>
      <c r="I209" s="23"/>
      <c r="J209" s="23"/>
      <c r="K209" s="24"/>
      <c r="L209" s="24"/>
    </row>
    <row r="210" ht="15.75" customHeight="1">
      <c r="A210" s="23"/>
      <c r="B210" s="23"/>
      <c r="E210" s="23"/>
      <c r="G210" s="23"/>
      <c r="H210" s="23"/>
      <c r="I210" s="23"/>
      <c r="J210" s="23"/>
      <c r="K210" s="24"/>
      <c r="L210" s="24"/>
    </row>
    <row r="211" ht="15.75" customHeight="1">
      <c r="A211" s="23"/>
      <c r="B211" s="23"/>
      <c r="E211" s="23"/>
      <c r="G211" s="23"/>
      <c r="H211" s="23"/>
      <c r="I211" s="23"/>
      <c r="J211" s="23"/>
      <c r="K211" s="24"/>
      <c r="L211" s="24"/>
    </row>
    <row r="212" ht="15.75" customHeight="1">
      <c r="A212" s="23"/>
      <c r="B212" s="23"/>
      <c r="E212" s="23"/>
      <c r="G212" s="23"/>
      <c r="H212" s="23"/>
      <c r="I212" s="23"/>
      <c r="J212" s="23"/>
      <c r="K212" s="24"/>
      <c r="L212" s="24"/>
    </row>
    <row r="213" ht="15.75" customHeight="1">
      <c r="A213" s="23"/>
      <c r="B213" s="23"/>
      <c r="E213" s="23"/>
      <c r="G213" s="23"/>
      <c r="H213" s="23"/>
      <c r="I213" s="23"/>
      <c r="J213" s="23"/>
      <c r="K213" s="24"/>
      <c r="L213" s="24"/>
    </row>
    <row r="214" ht="15.75" customHeight="1">
      <c r="A214" s="23"/>
      <c r="B214" s="23"/>
      <c r="E214" s="23"/>
      <c r="G214" s="23"/>
      <c r="H214" s="23"/>
      <c r="I214" s="23"/>
      <c r="J214" s="23"/>
      <c r="K214" s="24"/>
      <c r="L214" s="24"/>
    </row>
    <row r="215" ht="15.75" customHeight="1">
      <c r="A215" s="23"/>
      <c r="B215" s="23"/>
      <c r="E215" s="23"/>
      <c r="G215" s="23"/>
      <c r="H215" s="23"/>
      <c r="I215" s="23"/>
      <c r="J215" s="23"/>
      <c r="K215" s="24"/>
      <c r="L215" s="24"/>
    </row>
    <row r="216" ht="15.75" customHeight="1">
      <c r="A216" s="23"/>
      <c r="B216" s="23"/>
      <c r="E216" s="23"/>
      <c r="G216" s="23"/>
      <c r="H216" s="23"/>
      <c r="I216" s="23"/>
      <c r="J216" s="23"/>
      <c r="K216" s="24"/>
      <c r="L216" s="24"/>
    </row>
    <row r="217" ht="15.75" customHeight="1">
      <c r="A217" s="23"/>
      <c r="B217" s="23"/>
      <c r="E217" s="23"/>
      <c r="G217" s="23"/>
      <c r="H217" s="23"/>
      <c r="I217" s="23"/>
      <c r="J217" s="23"/>
      <c r="K217" s="24"/>
      <c r="L217" s="24"/>
    </row>
    <row r="218" ht="15.75" customHeight="1">
      <c r="A218" s="23"/>
      <c r="B218" s="23"/>
      <c r="E218" s="23"/>
      <c r="G218" s="23"/>
      <c r="H218" s="23"/>
      <c r="I218" s="23"/>
      <c r="J218" s="23"/>
      <c r="K218" s="24"/>
      <c r="L218" s="24"/>
    </row>
    <row r="219" ht="15.75" customHeight="1">
      <c r="A219" s="23"/>
      <c r="B219" s="23"/>
      <c r="E219" s="23"/>
      <c r="G219" s="23"/>
      <c r="H219" s="23"/>
      <c r="I219" s="23"/>
      <c r="J219" s="23"/>
      <c r="K219" s="24"/>
      <c r="L219" s="24"/>
    </row>
    <row r="220" ht="15.75" customHeight="1">
      <c r="A220" s="23"/>
      <c r="B220" s="23"/>
      <c r="E220" s="23"/>
      <c r="G220" s="23"/>
      <c r="H220" s="23"/>
      <c r="I220" s="23"/>
      <c r="J220" s="23"/>
      <c r="K220" s="24"/>
      <c r="L220" s="24"/>
    </row>
    <row r="221" ht="15.75" customHeight="1">
      <c r="A221" s="23"/>
      <c r="B221" s="23"/>
      <c r="E221" s="23"/>
      <c r="G221" s="23"/>
      <c r="H221" s="23"/>
      <c r="I221" s="23"/>
      <c r="J221" s="23"/>
    </row>
    <row r="222" ht="15.75" customHeight="1">
      <c r="A222" s="23"/>
      <c r="B222" s="23"/>
      <c r="E222" s="23"/>
      <c r="G222" s="23"/>
      <c r="H222" s="23"/>
      <c r="I222" s="23"/>
      <c r="J222" s="23"/>
    </row>
    <row r="223" ht="15.75" customHeight="1">
      <c r="A223" s="23"/>
      <c r="B223" s="23"/>
      <c r="E223" s="23"/>
      <c r="G223" s="23"/>
      <c r="H223" s="23"/>
      <c r="I223" s="23"/>
      <c r="J223" s="23"/>
    </row>
    <row r="224" ht="15.75" customHeight="1">
      <c r="A224" s="23"/>
      <c r="B224" s="23"/>
      <c r="E224" s="23"/>
      <c r="G224" s="23"/>
      <c r="H224" s="23"/>
      <c r="I224" s="23"/>
      <c r="J224" s="23"/>
    </row>
    <row r="225" ht="15.75" customHeight="1">
      <c r="A225" s="23"/>
      <c r="B225" s="23"/>
      <c r="E225" s="23"/>
      <c r="G225" s="23"/>
      <c r="H225" s="23"/>
      <c r="I225" s="23"/>
      <c r="J225" s="23"/>
    </row>
    <row r="226" ht="15.75" customHeight="1">
      <c r="A226" s="23"/>
      <c r="B226" s="23"/>
      <c r="E226" s="23"/>
      <c r="G226" s="23"/>
      <c r="H226" s="23"/>
      <c r="I226" s="23"/>
      <c r="J226" s="23"/>
    </row>
    <row r="227" ht="15.75" customHeight="1">
      <c r="A227" s="23"/>
      <c r="B227" s="23"/>
      <c r="E227" s="23"/>
      <c r="G227" s="23"/>
      <c r="H227" s="23"/>
      <c r="I227" s="23"/>
      <c r="J227" s="23"/>
    </row>
    <row r="228" ht="15.75" customHeight="1">
      <c r="A228" s="23"/>
      <c r="B228" s="23"/>
      <c r="E228" s="23"/>
      <c r="G228" s="23"/>
      <c r="H228" s="23"/>
      <c r="I228" s="23"/>
      <c r="J228" s="23"/>
    </row>
    <row r="229" ht="15.75" customHeight="1">
      <c r="A229" s="23"/>
      <c r="B229" s="23"/>
      <c r="E229" s="23"/>
      <c r="G229" s="23"/>
      <c r="H229" s="23"/>
      <c r="I229" s="23"/>
      <c r="J229" s="23"/>
    </row>
    <row r="230" ht="15.75" customHeight="1">
      <c r="A230" s="23"/>
      <c r="B230" s="23"/>
      <c r="E230" s="23"/>
      <c r="G230" s="23"/>
      <c r="H230" s="23"/>
      <c r="I230" s="23"/>
      <c r="J230" s="23"/>
    </row>
    <row r="231" ht="15.75" customHeight="1">
      <c r="A231" s="23"/>
      <c r="B231" s="23"/>
      <c r="E231" s="23"/>
      <c r="G231" s="23"/>
      <c r="H231" s="23"/>
      <c r="I231" s="23"/>
      <c r="J231" s="23"/>
    </row>
    <row r="232" ht="15.75" customHeight="1">
      <c r="A232" s="23"/>
      <c r="B232" s="23"/>
      <c r="E232" s="23"/>
      <c r="G232" s="23"/>
      <c r="H232" s="23"/>
      <c r="I232" s="23"/>
      <c r="J232" s="23"/>
    </row>
    <row r="233" ht="15.75" customHeight="1">
      <c r="A233" s="23"/>
      <c r="B233" s="23"/>
      <c r="E233" s="23"/>
      <c r="G233" s="23"/>
      <c r="H233" s="23"/>
      <c r="I233" s="23"/>
      <c r="J233" s="23"/>
    </row>
    <row r="234" ht="15.75" customHeight="1">
      <c r="A234" s="23"/>
      <c r="B234" s="23"/>
      <c r="E234" s="23"/>
      <c r="G234" s="23"/>
      <c r="H234" s="23"/>
      <c r="I234" s="23"/>
      <c r="J234" s="23"/>
    </row>
    <row r="235" ht="15.75" customHeight="1">
      <c r="A235" s="23"/>
      <c r="B235" s="23"/>
      <c r="E235" s="23"/>
      <c r="G235" s="23"/>
      <c r="H235" s="23"/>
      <c r="I235" s="23"/>
      <c r="J235" s="23"/>
    </row>
    <row r="236" ht="15.75" customHeight="1">
      <c r="A236" s="23"/>
      <c r="B236" s="23"/>
      <c r="E236" s="23"/>
      <c r="G236" s="23"/>
      <c r="H236" s="23"/>
      <c r="I236" s="23"/>
      <c r="J236" s="23"/>
    </row>
    <row r="237" ht="15.75" customHeight="1">
      <c r="A237" s="23"/>
      <c r="B237" s="23"/>
      <c r="E237" s="23"/>
      <c r="G237" s="23"/>
      <c r="H237" s="23"/>
      <c r="I237" s="23"/>
      <c r="J237" s="23"/>
    </row>
    <row r="238" ht="15.75" customHeight="1">
      <c r="A238" s="23"/>
      <c r="B238" s="23"/>
      <c r="E238" s="23"/>
      <c r="G238" s="23"/>
      <c r="H238" s="23"/>
      <c r="I238" s="23"/>
      <c r="J238" s="23"/>
    </row>
    <row r="239" ht="15.75" customHeight="1">
      <c r="A239" s="23"/>
      <c r="B239" s="23"/>
      <c r="E239" s="23"/>
      <c r="G239" s="23"/>
      <c r="H239" s="23"/>
      <c r="I239" s="23"/>
      <c r="J239" s="23"/>
    </row>
    <row r="240" ht="15.75" customHeight="1">
      <c r="A240" s="23"/>
      <c r="B240" s="23"/>
      <c r="E240" s="23"/>
      <c r="G240" s="23"/>
      <c r="H240" s="23"/>
      <c r="I240" s="23"/>
      <c r="J240" s="23"/>
    </row>
    <row r="241" ht="15.75" customHeight="1">
      <c r="A241" s="23"/>
      <c r="B241" s="23"/>
      <c r="E241" s="23"/>
      <c r="G241" s="23"/>
      <c r="H241" s="23"/>
      <c r="I241" s="23"/>
      <c r="J241" s="23"/>
    </row>
    <row r="242" ht="15.75" customHeight="1">
      <c r="A242" s="23"/>
      <c r="B242" s="23"/>
      <c r="E242" s="23"/>
      <c r="G242" s="23"/>
      <c r="H242" s="23"/>
      <c r="I242" s="23"/>
      <c r="J242" s="23"/>
    </row>
    <row r="243" ht="15.75" customHeight="1">
      <c r="A243" s="23"/>
      <c r="B243" s="23"/>
      <c r="E243" s="23"/>
      <c r="G243" s="23"/>
      <c r="H243" s="23"/>
      <c r="I243" s="23"/>
      <c r="J243" s="23"/>
    </row>
    <row r="244" ht="15.75" customHeight="1">
      <c r="A244" s="23"/>
      <c r="B244" s="23"/>
      <c r="E244" s="23"/>
      <c r="G244" s="23"/>
      <c r="H244" s="23"/>
      <c r="I244" s="23"/>
      <c r="J244" s="23"/>
    </row>
    <row r="245" ht="15.75" customHeight="1">
      <c r="A245" s="23"/>
      <c r="B245" s="23"/>
      <c r="E245" s="23"/>
      <c r="G245" s="23"/>
      <c r="H245" s="23"/>
      <c r="I245" s="23"/>
      <c r="J245" s="23"/>
    </row>
    <row r="246" ht="15.75" customHeight="1">
      <c r="A246" s="23"/>
      <c r="B246" s="23"/>
      <c r="E246" s="23"/>
      <c r="G246" s="23"/>
      <c r="H246" s="23"/>
      <c r="I246" s="23"/>
      <c r="J246" s="23"/>
    </row>
    <row r="247" ht="15.75" customHeight="1">
      <c r="A247" s="23"/>
      <c r="B247" s="23"/>
      <c r="E247" s="23"/>
      <c r="G247" s="23"/>
      <c r="H247" s="23"/>
      <c r="I247" s="23"/>
      <c r="J247" s="23"/>
    </row>
    <row r="248" ht="15.75" customHeight="1">
      <c r="A248" s="23"/>
      <c r="B248" s="23"/>
      <c r="E248" s="23"/>
      <c r="G248" s="23"/>
      <c r="H248" s="23"/>
      <c r="I248" s="23"/>
      <c r="J248" s="23"/>
    </row>
    <row r="249" ht="15.75" customHeight="1">
      <c r="A249" s="23"/>
      <c r="B249" s="23"/>
      <c r="E249" s="23"/>
      <c r="G249" s="23"/>
      <c r="H249" s="23"/>
      <c r="I249" s="23"/>
      <c r="J249" s="23"/>
    </row>
    <row r="250" ht="15.75" customHeight="1">
      <c r="A250" s="23"/>
      <c r="B250" s="23"/>
      <c r="E250" s="23"/>
      <c r="G250" s="23"/>
      <c r="H250" s="23"/>
      <c r="I250" s="23"/>
      <c r="J250" s="23"/>
    </row>
    <row r="251" ht="15.75" customHeight="1">
      <c r="A251" s="23"/>
      <c r="B251" s="23"/>
      <c r="E251" s="23"/>
      <c r="G251" s="23"/>
      <c r="H251" s="23"/>
      <c r="I251" s="23"/>
      <c r="J251" s="23"/>
    </row>
    <row r="252" ht="15.75" customHeight="1">
      <c r="A252" s="23"/>
      <c r="B252" s="23"/>
      <c r="E252" s="23"/>
      <c r="G252" s="23"/>
      <c r="H252" s="23"/>
      <c r="I252" s="23"/>
      <c r="J252" s="23"/>
    </row>
    <row r="253" ht="15.75" customHeight="1">
      <c r="A253" s="23"/>
      <c r="B253" s="23"/>
      <c r="E253" s="23"/>
      <c r="G253" s="23"/>
      <c r="H253" s="23"/>
      <c r="I253" s="23"/>
      <c r="J253" s="23"/>
    </row>
    <row r="254" ht="15.75" customHeight="1">
      <c r="A254" s="23"/>
      <c r="B254" s="23"/>
      <c r="E254" s="23"/>
      <c r="G254" s="23"/>
      <c r="H254" s="23"/>
      <c r="I254" s="23"/>
      <c r="J254" s="23"/>
    </row>
    <row r="255" ht="15.75" customHeight="1">
      <c r="A255" s="23"/>
      <c r="B255" s="23"/>
      <c r="E255" s="23"/>
      <c r="G255" s="23"/>
      <c r="H255" s="23"/>
      <c r="I255" s="23"/>
      <c r="J255" s="23"/>
    </row>
    <row r="256" ht="15.75" customHeight="1">
      <c r="A256" s="23"/>
      <c r="B256" s="23"/>
      <c r="E256" s="23"/>
      <c r="G256" s="23"/>
      <c r="H256" s="23"/>
      <c r="I256" s="23"/>
      <c r="J256" s="23"/>
    </row>
    <row r="257" ht="15.75" customHeight="1">
      <c r="A257" s="23"/>
      <c r="B257" s="23"/>
      <c r="E257" s="23"/>
      <c r="G257" s="23"/>
      <c r="H257" s="23"/>
      <c r="I257" s="23"/>
      <c r="J257" s="23"/>
    </row>
    <row r="258" ht="15.75" customHeight="1">
      <c r="A258" s="23"/>
      <c r="B258" s="23"/>
      <c r="E258" s="23"/>
      <c r="G258" s="23"/>
      <c r="H258" s="23"/>
      <c r="I258" s="23"/>
      <c r="J258" s="23"/>
    </row>
    <row r="259" ht="15.75" customHeight="1">
      <c r="A259" s="23"/>
      <c r="B259" s="23"/>
      <c r="E259" s="23"/>
      <c r="G259" s="23"/>
      <c r="H259" s="23"/>
      <c r="I259" s="23"/>
      <c r="J259" s="23"/>
    </row>
    <row r="260" ht="15.75" customHeight="1">
      <c r="A260" s="23"/>
      <c r="B260" s="23"/>
      <c r="E260" s="23"/>
      <c r="G260" s="23"/>
      <c r="H260" s="23"/>
      <c r="I260" s="23"/>
      <c r="J260" s="23"/>
    </row>
    <row r="261" ht="15.75" customHeight="1">
      <c r="A261" s="23"/>
      <c r="B261" s="23"/>
      <c r="E261" s="23"/>
      <c r="G261" s="23"/>
      <c r="H261" s="23"/>
      <c r="I261" s="23"/>
      <c r="J261" s="23"/>
    </row>
    <row r="262" ht="15.75" customHeight="1">
      <c r="A262" s="23"/>
      <c r="B262" s="23"/>
      <c r="E262" s="23"/>
      <c r="G262" s="23"/>
      <c r="H262" s="23"/>
      <c r="I262" s="23"/>
      <c r="J262" s="23"/>
    </row>
    <row r="263" ht="15.75" customHeight="1">
      <c r="A263" s="23"/>
      <c r="B263" s="23"/>
      <c r="E263" s="23"/>
      <c r="G263" s="23"/>
      <c r="H263" s="23"/>
      <c r="I263" s="23"/>
      <c r="J263" s="23"/>
    </row>
    <row r="264" ht="15.75" customHeight="1">
      <c r="A264" s="23"/>
      <c r="B264" s="23"/>
      <c r="E264" s="23"/>
      <c r="G264" s="23"/>
      <c r="H264" s="23"/>
      <c r="I264" s="23"/>
      <c r="J264" s="23"/>
    </row>
    <row r="265" ht="15.75" customHeight="1">
      <c r="A265" s="23"/>
      <c r="B265" s="23"/>
      <c r="E265" s="23"/>
      <c r="G265" s="23"/>
      <c r="H265" s="23"/>
      <c r="I265" s="23"/>
      <c r="J265" s="23"/>
    </row>
    <row r="266" ht="15.75" customHeight="1">
      <c r="A266" s="23"/>
      <c r="B266" s="23"/>
      <c r="E266" s="23"/>
      <c r="G266" s="23"/>
      <c r="H266" s="23"/>
      <c r="I266" s="23"/>
      <c r="J266" s="23"/>
    </row>
    <row r="267" ht="15.75" customHeight="1">
      <c r="A267" s="23"/>
      <c r="B267" s="23"/>
      <c r="E267" s="23"/>
      <c r="G267" s="23"/>
      <c r="H267" s="23"/>
      <c r="I267" s="23"/>
      <c r="J267" s="23"/>
    </row>
    <row r="268" ht="15.75" customHeight="1">
      <c r="A268" s="23"/>
      <c r="B268" s="23"/>
      <c r="E268" s="23"/>
      <c r="G268" s="23"/>
      <c r="H268" s="23"/>
      <c r="I268" s="23"/>
      <c r="J268" s="23"/>
    </row>
    <row r="269" ht="15.75" customHeight="1">
      <c r="A269" s="23"/>
      <c r="B269" s="23"/>
      <c r="E269" s="23"/>
      <c r="G269" s="23"/>
      <c r="H269" s="23"/>
      <c r="I269" s="23"/>
      <c r="J269" s="23"/>
    </row>
    <row r="270" ht="15.75" customHeight="1">
      <c r="A270" s="23"/>
      <c r="B270" s="23"/>
      <c r="E270" s="23"/>
      <c r="G270" s="23"/>
      <c r="H270" s="23"/>
      <c r="I270" s="23"/>
      <c r="J270" s="23"/>
    </row>
    <row r="271" ht="15.75" customHeight="1">
      <c r="A271" s="23"/>
      <c r="B271" s="23"/>
      <c r="E271" s="23"/>
      <c r="G271" s="23"/>
      <c r="H271" s="23"/>
      <c r="I271" s="23"/>
      <c r="J271" s="23"/>
    </row>
    <row r="272" ht="15.75" customHeight="1">
      <c r="A272" s="23"/>
      <c r="B272" s="23"/>
      <c r="E272" s="23"/>
      <c r="G272" s="23"/>
      <c r="H272" s="23"/>
      <c r="I272" s="23"/>
      <c r="J272" s="23"/>
    </row>
    <row r="273" ht="15.75" customHeight="1">
      <c r="A273" s="23"/>
      <c r="B273" s="23"/>
      <c r="E273" s="23"/>
      <c r="G273" s="23"/>
      <c r="H273" s="23"/>
      <c r="I273" s="23"/>
      <c r="J273" s="23"/>
    </row>
    <row r="274" ht="15.75" customHeight="1">
      <c r="A274" s="23"/>
      <c r="B274" s="23"/>
      <c r="E274" s="23"/>
      <c r="G274" s="23"/>
      <c r="H274" s="23"/>
      <c r="I274" s="23"/>
      <c r="J274" s="23"/>
    </row>
    <row r="275" ht="15.75" customHeight="1">
      <c r="A275" s="23"/>
      <c r="B275" s="23"/>
      <c r="E275" s="23"/>
      <c r="G275" s="23"/>
      <c r="H275" s="23"/>
      <c r="I275" s="23"/>
      <c r="J275" s="23"/>
    </row>
    <row r="276" ht="15.75" customHeight="1">
      <c r="A276" s="23"/>
      <c r="B276" s="23"/>
      <c r="E276" s="23"/>
      <c r="G276" s="23"/>
      <c r="H276" s="23"/>
      <c r="I276" s="23"/>
      <c r="J276" s="23"/>
    </row>
    <row r="277" ht="15.75" customHeight="1">
      <c r="A277" s="23"/>
      <c r="B277" s="23"/>
      <c r="E277" s="23"/>
      <c r="G277" s="23"/>
      <c r="H277" s="23"/>
      <c r="I277" s="23"/>
      <c r="J277" s="23"/>
    </row>
    <row r="278" ht="15.75" customHeight="1">
      <c r="A278" s="23"/>
      <c r="B278" s="23"/>
      <c r="E278" s="23"/>
      <c r="G278" s="23"/>
      <c r="H278" s="23"/>
      <c r="I278" s="23"/>
      <c r="J278" s="23"/>
    </row>
    <row r="279" ht="15.75" customHeight="1">
      <c r="A279" s="23"/>
      <c r="B279" s="23"/>
      <c r="E279" s="23"/>
      <c r="G279" s="23"/>
      <c r="H279" s="23"/>
      <c r="I279" s="23"/>
      <c r="J279" s="23"/>
    </row>
    <row r="280" ht="15.75" customHeight="1">
      <c r="A280" s="23"/>
      <c r="B280" s="23"/>
      <c r="E280" s="23"/>
      <c r="G280" s="23"/>
      <c r="H280" s="23"/>
      <c r="I280" s="23"/>
      <c r="J280" s="23"/>
    </row>
    <row r="281" ht="15.75" customHeight="1">
      <c r="A281" s="23"/>
      <c r="B281" s="23"/>
      <c r="E281" s="23"/>
      <c r="G281" s="23"/>
      <c r="H281" s="23"/>
      <c r="I281" s="23"/>
      <c r="J281" s="23"/>
    </row>
    <row r="282" ht="15.75" customHeight="1">
      <c r="A282" s="23"/>
      <c r="B282" s="23"/>
      <c r="E282" s="23"/>
      <c r="G282" s="23"/>
      <c r="H282" s="23"/>
      <c r="I282" s="23"/>
      <c r="J282" s="23"/>
    </row>
    <row r="283" ht="15.75" customHeight="1">
      <c r="A283" s="23"/>
      <c r="B283" s="23"/>
      <c r="E283" s="23"/>
      <c r="G283" s="23"/>
      <c r="H283" s="23"/>
      <c r="I283" s="23"/>
      <c r="J283" s="23"/>
    </row>
    <row r="284" ht="15.75" customHeight="1">
      <c r="A284" s="23"/>
      <c r="B284" s="23"/>
      <c r="E284" s="23"/>
      <c r="G284" s="23"/>
      <c r="H284" s="23"/>
      <c r="I284" s="23"/>
      <c r="J284" s="23"/>
    </row>
    <row r="285" ht="15.75" customHeight="1">
      <c r="A285" s="23"/>
      <c r="B285" s="23"/>
      <c r="E285" s="23"/>
      <c r="G285" s="23"/>
      <c r="H285" s="23"/>
      <c r="I285" s="23"/>
      <c r="J285" s="23"/>
    </row>
    <row r="286" ht="15.75" customHeight="1">
      <c r="A286" s="23"/>
      <c r="B286" s="23"/>
      <c r="E286" s="23"/>
      <c r="G286" s="23"/>
      <c r="H286" s="23"/>
      <c r="I286" s="23"/>
      <c r="J286" s="23"/>
    </row>
    <row r="287" ht="15.75" customHeight="1">
      <c r="A287" s="23"/>
      <c r="B287" s="23"/>
      <c r="E287" s="23"/>
      <c r="G287" s="23"/>
      <c r="H287" s="23"/>
      <c r="I287" s="23"/>
      <c r="J287" s="23"/>
    </row>
    <row r="288" ht="15.75" customHeight="1">
      <c r="A288" s="23"/>
      <c r="B288" s="23"/>
      <c r="E288" s="23"/>
      <c r="G288" s="23"/>
      <c r="H288" s="23"/>
      <c r="I288" s="23"/>
      <c r="J288" s="23"/>
    </row>
    <row r="289" ht="15.75" customHeight="1">
      <c r="A289" s="23"/>
      <c r="B289" s="23"/>
      <c r="E289" s="23"/>
      <c r="G289" s="23"/>
      <c r="H289" s="23"/>
      <c r="I289" s="23"/>
      <c r="J289" s="23"/>
    </row>
    <row r="290" ht="15.75" customHeight="1">
      <c r="A290" s="23"/>
      <c r="B290" s="23"/>
      <c r="E290" s="23"/>
      <c r="G290" s="23"/>
      <c r="H290" s="23"/>
      <c r="I290" s="23"/>
      <c r="J290" s="23"/>
    </row>
    <row r="291" ht="15.75" customHeight="1">
      <c r="A291" s="23"/>
      <c r="B291" s="23"/>
      <c r="E291" s="23"/>
      <c r="G291" s="23"/>
      <c r="H291" s="23"/>
      <c r="I291" s="23"/>
      <c r="J291" s="23"/>
    </row>
    <row r="292" ht="15.75" customHeight="1">
      <c r="A292" s="23"/>
      <c r="B292" s="23"/>
      <c r="E292" s="23"/>
      <c r="G292" s="23"/>
      <c r="H292" s="23"/>
      <c r="I292" s="23"/>
      <c r="J292" s="23"/>
    </row>
    <row r="293" ht="15.75" customHeight="1">
      <c r="A293" s="23"/>
      <c r="B293" s="23"/>
      <c r="E293" s="23"/>
      <c r="G293" s="23"/>
      <c r="H293" s="23"/>
      <c r="I293" s="23"/>
      <c r="J293" s="23"/>
    </row>
    <row r="294" ht="15.75" customHeight="1">
      <c r="A294" s="23"/>
      <c r="B294" s="23"/>
      <c r="E294" s="23"/>
      <c r="G294" s="23"/>
      <c r="H294" s="23"/>
      <c r="I294" s="23"/>
      <c r="J294" s="23"/>
    </row>
    <row r="295" ht="15.75" customHeight="1">
      <c r="A295" s="23"/>
      <c r="B295" s="23"/>
      <c r="E295" s="23"/>
      <c r="G295" s="23"/>
      <c r="H295" s="23"/>
      <c r="I295" s="23"/>
      <c r="J295" s="23"/>
    </row>
    <row r="296" ht="15.75" customHeight="1">
      <c r="A296" s="23"/>
      <c r="B296" s="23"/>
      <c r="E296" s="23"/>
      <c r="G296" s="23"/>
      <c r="H296" s="23"/>
      <c r="I296" s="23"/>
      <c r="J296" s="23"/>
    </row>
    <row r="297" ht="15.75" customHeight="1">
      <c r="A297" s="23"/>
      <c r="B297" s="23"/>
      <c r="E297" s="23"/>
      <c r="G297" s="23"/>
      <c r="H297" s="23"/>
      <c r="I297" s="23"/>
      <c r="J297" s="23"/>
    </row>
    <row r="298" ht="15.75" customHeight="1">
      <c r="A298" s="23"/>
      <c r="B298" s="23"/>
      <c r="E298" s="23"/>
      <c r="G298" s="23"/>
      <c r="H298" s="23"/>
      <c r="I298" s="23"/>
      <c r="J298" s="23"/>
    </row>
    <row r="299" ht="15.75" customHeight="1">
      <c r="A299" s="23"/>
      <c r="B299" s="23"/>
      <c r="E299" s="23"/>
      <c r="G299" s="23"/>
      <c r="H299" s="23"/>
      <c r="I299" s="23"/>
      <c r="J299" s="23"/>
    </row>
    <row r="300" ht="15.75" customHeight="1">
      <c r="A300" s="23"/>
      <c r="B300" s="23"/>
      <c r="E300" s="23"/>
      <c r="G300" s="23"/>
      <c r="H300" s="23"/>
      <c r="I300" s="23"/>
      <c r="J300" s="23"/>
    </row>
    <row r="301" ht="15.75" customHeight="1">
      <c r="A301" s="23"/>
      <c r="B301" s="23"/>
      <c r="E301" s="23"/>
      <c r="G301" s="23"/>
      <c r="H301" s="23"/>
      <c r="I301" s="23"/>
      <c r="J301" s="23"/>
    </row>
    <row r="302" ht="15.75" customHeight="1">
      <c r="A302" s="23"/>
      <c r="B302" s="23"/>
      <c r="E302" s="23"/>
      <c r="G302" s="23"/>
      <c r="H302" s="23"/>
      <c r="I302" s="23"/>
      <c r="J302" s="23"/>
    </row>
    <row r="303" ht="15.75" customHeight="1">
      <c r="A303" s="23"/>
      <c r="B303" s="23"/>
      <c r="E303" s="23"/>
      <c r="G303" s="23"/>
      <c r="H303" s="23"/>
      <c r="I303" s="23"/>
      <c r="J303" s="23"/>
    </row>
    <row r="304" ht="15.75" customHeight="1">
      <c r="A304" s="23"/>
      <c r="B304" s="23"/>
      <c r="E304" s="23"/>
      <c r="G304" s="23"/>
      <c r="H304" s="23"/>
      <c r="I304" s="23"/>
      <c r="J304" s="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304"/>
  <mergeCells count="3">
    <mergeCell ref="A1:M1"/>
    <mergeCell ref="A2:M2"/>
    <mergeCell ref="A3:M3"/>
  </mergeCells>
  <dataValidations>
    <dataValidation type="list" allowBlank="1" showInputMessage="1" showErrorMessage="1" prompt="Терминальное состояние" sqref="E5:E304">
      <formula1>'Система'!$K$33:$K$34</formula1>
    </dataValidation>
    <dataValidation type="list" allowBlank="1" showInputMessage="1" showErrorMessage="1" prompt="Объект" sqref="B5:B304">
      <formula1>'Система'!$AA$33:$AA$232</formula1>
    </dataValidation>
    <dataValidation type="list" allowBlank="1" showInputMessage="1" showErrorMessage="1" prompt="Слой модели" sqref="G5:G304">
      <formula1>'Система'!$B$33:$B$34</formula1>
    </dataValidation>
    <dataValidation type="list" allowBlank="1" showInputMessage="1" showErrorMessage="1" prompt="Версия" sqref="H5:H304">
      <formula1>'Система'!$AE$33:$AE$132</formula1>
    </dataValidation>
    <dataValidation type="custom" allowBlank="1" showDropDown="1" showInputMessage="1" showErrorMessage="1" prompt="Стабильный ID формата st-..." sqref="A5:A304">
      <formula1>OR(A5="",REGEXMATCH(A5,"^st-[A-Za-z0-9._-]+$"))</formula1>
    </dataValidation>
    <dataValidation type="list" allowBlank="1" showInputMessage="1" showErrorMessage="1" prompt="Статус знания" sqref="I5:I304">
      <formula1>'Система'!$A$33:$A$38</formula1>
    </dataValidation>
    <dataValidation type="list" allowBlank="1" showInputMessage="1" showErrorMessage="1" prompt="Источник" sqref="J5:J3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7" width="15.0"/>
    <col customWidth="1" min="8" max="8" width="31.13"/>
    <col customWidth="1" min="9" max="9" width="15.0"/>
    <col customWidth="1" min="10" max="10" width="31.13"/>
    <col customWidth="1" min="11" max="16" width="15.0"/>
    <col customWidth="1" min="17" max="17" width="31.13"/>
    <col customWidth="1" min="18" max="26" width="8.63"/>
  </cols>
  <sheetData>
    <row r="1" ht="25.5" customHeight="1">
      <c r="A1" s="1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2.5" customHeight="1">
      <c r="A2" s="4" t="s">
        <v>598</v>
      </c>
    </row>
    <row r="3" ht="19.5" customHeight="1">
      <c r="A3" s="7" t="s">
        <v>8</v>
      </c>
    </row>
    <row r="4" ht="39.0" customHeight="1">
      <c r="A4" s="10" t="s">
        <v>599</v>
      </c>
      <c r="B4" s="10" t="s">
        <v>550</v>
      </c>
      <c r="C4" s="10" t="s">
        <v>593</v>
      </c>
      <c r="D4" s="10" t="s">
        <v>600</v>
      </c>
      <c r="E4" s="10" t="s">
        <v>601</v>
      </c>
      <c r="F4" s="13" t="s">
        <v>602</v>
      </c>
      <c r="G4" s="10" t="s">
        <v>603</v>
      </c>
      <c r="H4" s="13" t="s">
        <v>573</v>
      </c>
      <c r="I4" s="13" t="s">
        <v>574</v>
      </c>
      <c r="J4" s="10" t="s">
        <v>604</v>
      </c>
      <c r="K4" s="13" t="s">
        <v>605</v>
      </c>
      <c r="L4" s="10" t="s">
        <v>438</v>
      </c>
      <c r="M4" s="10" t="s">
        <v>545</v>
      </c>
      <c r="N4" s="10" t="s">
        <v>36</v>
      </c>
      <c r="O4" s="10" t="s">
        <v>38</v>
      </c>
      <c r="P4" s="13" t="s">
        <v>319</v>
      </c>
      <c r="Q4" s="13" t="s">
        <v>52</v>
      </c>
    </row>
    <row r="5">
      <c r="A5" s="23"/>
      <c r="B5" s="23"/>
      <c r="C5" s="23"/>
      <c r="D5" s="23"/>
      <c r="E5" s="23"/>
      <c r="F5" s="23"/>
      <c r="G5" s="23"/>
      <c r="I5" s="23"/>
      <c r="K5" s="23"/>
      <c r="L5" s="23"/>
      <c r="M5" s="23"/>
      <c r="N5" s="23"/>
      <c r="O5" s="23"/>
      <c r="P5" s="23"/>
    </row>
    <row r="6">
      <c r="A6" s="23"/>
      <c r="B6" s="23"/>
      <c r="C6" s="23"/>
      <c r="D6" s="23"/>
      <c r="E6" s="23"/>
      <c r="F6" s="23"/>
      <c r="G6" s="23"/>
      <c r="I6" s="23"/>
      <c r="K6" s="23"/>
      <c r="L6" s="23"/>
      <c r="M6" s="23"/>
      <c r="N6" s="23"/>
      <c r="O6" s="23"/>
      <c r="P6" s="23"/>
    </row>
    <row r="7">
      <c r="A7" s="23"/>
      <c r="B7" s="23"/>
      <c r="C7" s="23"/>
      <c r="D7" s="23"/>
      <c r="E7" s="23"/>
      <c r="F7" s="23"/>
      <c r="G7" s="23"/>
      <c r="I7" s="23"/>
      <c r="K7" s="23"/>
      <c r="L7" s="23"/>
      <c r="M7" s="23"/>
      <c r="N7" s="23"/>
      <c r="O7" s="23"/>
      <c r="P7" s="23"/>
    </row>
    <row r="8">
      <c r="A8" s="23"/>
      <c r="B8" s="23"/>
      <c r="C8" s="23"/>
      <c r="D8" s="23"/>
      <c r="E8" s="23"/>
      <c r="F8" s="23"/>
      <c r="G8" s="23"/>
      <c r="I8" s="23"/>
      <c r="K8" s="23"/>
      <c r="L8" s="23"/>
      <c r="M8" s="23"/>
      <c r="N8" s="23"/>
      <c r="O8" s="23"/>
      <c r="P8" s="23"/>
    </row>
    <row r="9">
      <c r="A9" s="23"/>
      <c r="B9" s="23"/>
      <c r="C9" s="23"/>
      <c r="D9" s="23"/>
      <c r="E9" s="23"/>
      <c r="F9" s="23"/>
      <c r="G9" s="23"/>
      <c r="I9" s="23"/>
      <c r="K9" s="23"/>
      <c r="L9" s="23"/>
      <c r="M9" s="23"/>
      <c r="N9" s="23"/>
      <c r="O9" s="23"/>
      <c r="P9" s="23"/>
    </row>
    <row r="10">
      <c r="A10" s="23"/>
      <c r="B10" s="23"/>
      <c r="C10" s="23"/>
      <c r="D10" s="23"/>
      <c r="E10" s="23"/>
      <c r="F10" s="23"/>
      <c r="G10" s="23"/>
      <c r="I10" s="23"/>
      <c r="K10" s="23"/>
      <c r="L10" s="23"/>
      <c r="M10" s="23"/>
      <c r="N10" s="23"/>
      <c r="O10" s="23"/>
      <c r="P10" s="23"/>
    </row>
    <row r="11">
      <c r="A11" s="23"/>
      <c r="B11" s="23"/>
      <c r="C11" s="23"/>
      <c r="D11" s="23"/>
      <c r="E11" s="23"/>
      <c r="F11" s="23"/>
      <c r="G11" s="23"/>
      <c r="I11" s="23"/>
      <c r="K11" s="23"/>
      <c r="L11" s="23"/>
      <c r="M11" s="23"/>
      <c r="N11" s="23"/>
      <c r="O11" s="23"/>
      <c r="P11" s="23"/>
    </row>
    <row r="12">
      <c r="A12" s="23"/>
      <c r="B12" s="23"/>
      <c r="C12" s="23"/>
      <c r="D12" s="23"/>
      <c r="E12" s="23"/>
      <c r="F12" s="23"/>
      <c r="G12" s="23"/>
      <c r="I12" s="23"/>
      <c r="K12" s="23"/>
      <c r="L12" s="23"/>
      <c r="M12" s="23"/>
      <c r="N12" s="23"/>
      <c r="O12" s="23"/>
      <c r="P12" s="23"/>
    </row>
    <row r="13">
      <c r="A13" s="23"/>
      <c r="B13" s="23"/>
      <c r="C13" s="23"/>
      <c r="D13" s="23"/>
      <c r="E13" s="23"/>
      <c r="F13" s="23"/>
      <c r="G13" s="23"/>
      <c r="I13" s="23"/>
      <c r="K13" s="23"/>
      <c r="L13" s="23"/>
      <c r="M13" s="23"/>
      <c r="N13" s="23"/>
      <c r="O13" s="23"/>
      <c r="P13" s="23"/>
    </row>
    <row r="14">
      <c r="A14" s="23"/>
      <c r="B14" s="23"/>
      <c r="C14" s="23"/>
      <c r="D14" s="23"/>
      <c r="E14" s="23"/>
      <c r="F14" s="23"/>
      <c r="G14" s="23"/>
      <c r="I14" s="23"/>
      <c r="K14" s="23"/>
      <c r="L14" s="23"/>
      <c r="M14" s="23"/>
      <c r="N14" s="23"/>
      <c r="O14" s="23"/>
      <c r="P14" s="23"/>
    </row>
    <row r="15">
      <c r="A15" s="23"/>
      <c r="B15" s="23"/>
      <c r="C15" s="23"/>
      <c r="D15" s="23"/>
      <c r="E15" s="23"/>
      <c r="F15" s="23"/>
      <c r="G15" s="23"/>
      <c r="I15" s="23"/>
      <c r="K15" s="23"/>
      <c r="L15" s="23"/>
      <c r="M15" s="23"/>
      <c r="N15" s="23"/>
      <c r="O15" s="23"/>
      <c r="P15" s="23"/>
    </row>
    <row r="16">
      <c r="A16" s="23"/>
      <c r="B16" s="23"/>
      <c r="C16" s="23"/>
      <c r="D16" s="23"/>
      <c r="E16" s="23"/>
      <c r="F16" s="23"/>
      <c r="G16" s="23"/>
      <c r="I16" s="23"/>
      <c r="K16" s="23"/>
      <c r="L16" s="23"/>
      <c r="M16" s="23"/>
      <c r="N16" s="23"/>
      <c r="O16" s="23"/>
      <c r="P16" s="23"/>
    </row>
    <row r="17">
      <c r="A17" s="23"/>
      <c r="B17" s="23"/>
      <c r="C17" s="23"/>
      <c r="D17" s="23"/>
      <c r="E17" s="23"/>
      <c r="F17" s="23"/>
      <c r="G17" s="23"/>
      <c r="I17" s="23"/>
      <c r="K17" s="23"/>
      <c r="L17" s="23"/>
      <c r="M17" s="23"/>
      <c r="N17" s="23"/>
      <c r="O17" s="23"/>
      <c r="P17" s="23"/>
    </row>
    <row r="18">
      <c r="A18" s="23"/>
      <c r="B18" s="23"/>
      <c r="C18" s="23"/>
      <c r="D18" s="23"/>
      <c r="E18" s="23"/>
      <c r="F18" s="23"/>
      <c r="G18" s="23"/>
      <c r="I18" s="23"/>
      <c r="K18" s="23"/>
      <c r="L18" s="23"/>
      <c r="M18" s="23"/>
      <c r="N18" s="23"/>
      <c r="O18" s="23"/>
      <c r="P18" s="23"/>
    </row>
    <row r="19">
      <c r="A19" s="23"/>
      <c r="B19" s="23"/>
      <c r="C19" s="23"/>
      <c r="D19" s="23"/>
      <c r="E19" s="23"/>
      <c r="F19" s="23"/>
      <c r="G19" s="23"/>
      <c r="I19" s="23"/>
      <c r="K19" s="23"/>
      <c r="L19" s="23"/>
      <c r="M19" s="23"/>
      <c r="N19" s="23"/>
      <c r="O19" s="23"/>
      <c r="P19" s="23"/>
    </row>
    <row r="20">
      <c r="A20" s="23"/>
      <c r="B20" s="23"/>
      <c r="C20" s="23"/>
      <c r="D20" s="23"/>
      <c r="E20" s="23"/>
      <c r="F20" s="23"/>
      <c r="G20" s="23"/>
      <c r="I20" s="23"/>
      <c r="K20" s="23"/>
      <c r="L20" s="23"/>
      <c r="M20" s="23"/>
      <c r="N20" s="23"/>
      <c r="O20" s="23"/>
      <c r="P20" s="23"/>
    </row>
    <row r="21" ht="15.75" customHeight="1">
      <c r="A21" s="23"/>
      <c r="B21" s="23"/>
      <c r="C21" s="23"/>
      <c r="D21" s="23"/>
      <c r="E21" s="23"/>
      <c r="F21" s="23"/>
      <c r="G21" s="23"/>
      <c r="I21" s="23"/>
      <c r="K21" s="23"/>
      <c r="L21" s="23"/>
      <c r="M21" s="23"/>
      <c r="N21" s="23"/>
      <c r="O21" s="23"/>
      <c r="P21" s="23"/>
    </row>
    <row r="22" ht="15.75" customHeight="1">
      <c r="A22" s="23"/>
      <c r="B22" s="23"/>
      <c r="C22" s="23"/>
      <c r="D22" s="23"/>
      <c r="E22" s="23"/>
      <c r="F22" s="23"/>
      <c r="G22" s="23"/>
      <c r="I22" s="23"/>
      <c r="K22" s="23"/>
      <c r="L22" s="23"/>
      <c r="M22" s="23"/>
      <c r="N22" s="23"/>
      <c r="O22" s="23"/>
      <c r="P22" s="23"/>
    </row>
    <row r="23" ht="15.75" customHeight="1">
      <c r="A23" s="23"/>
      <c r="B23" s="23"/>
      <c r="C23" s="23"/>
      <c r="D23" s="23"/>
      <c r="E23" s="23"/>
      <c r="F23" s="23"/>
      <c r="G23" s="23"/>
      <c r="I23" s="23"/>
      <c r="K23" s="23"/>
      <c r="L23" s="23"/>
      <c r="M23" s="23"/>
      <c r="N23" s="23"/>
      <c r="O23" s="23"/>
      <c r="P23" s="23"/>
    </row>
    <row r="24" ht="15.75" customHeight="1">
      <c r="A24" s="23"/>
      <c r="B24" s="23"/>
      <c r="C24" s="23"/>
      <c r="D24" s="23"/>
      <c r="E24" s="23"/>
      <c r="F24" s="23"/>
      <c r="G24" s="23"/>
      <c r="I24" s="23"/>
      <c r="K24" s="23"/>
      <c r="L24" s="23"/>
      <c r="M24" s="23"/>
      <c r="N24" s="23"/>
      <c r="O24" s="23"/>
      <c r="P24" s="23"/>
    </row>
    <row r="25" ht="15.75" customHeight="1">
      <c r="A25" s="23"/>
      <c r="B25" s="23"/>
      <c r="C25" s="23"/>
      <c r="D25" s="23"/>
      <c r="E25" s="23"/>
      <c r="F25" s="23"/>
      <c r="G25" s="23"/>
      <c r="I25" s="23"/>
      <c r="K25" s="23"/>
      <c r="L25" s="23"/>
      <c r="M25" s="23"/>
      <c r="N25" s="23"/>
      <c r="O25" s="23"/>
      <c r="P25" s="23"/>
    </row>
    <row r="26" ht="15.75" customHeight="1">
      <c r="A26" s="23"/>
      <c r="B26" s="23"/>
      <c r="C26" s="23"/>
      <c r="D26" s="23"/>
      <c r="E26" s="23"/>
      <c r="F26" s="23"/>
      <c r="G26" s="23"/>
      <c r="I26" s="23"/>
      <c r="K26" s="23"/>
      <c r="L26" s="23"/>
      <c r="M26" s="23"/>
      <c r="N26" s="23"/>
      <c r="O26" s="23"/>
      <c r="P26" s="23"/>
    </row>
    <row r="27" ht="15.75" customHeight="1">
      <c r="A27" s="23"/>
      <c r="B27" s="23"/>
      <c r="C27" s="23"/>
      <c r="D27" s="23"/>
      <c r="E27" s="23"/>
      <c r="F27" s="23"/>
      <c r="G27" s="23"/>
      <c r="I27" s="23"/>
      <c r="K27" s="23"/>
      <c r="L27" s="23"/>
      <c r="M27" s="23"/>
      <c r="N27" s="23"/>
      <c r="O27" s="23"/>
      <c r="P27" s="23"/>
    </row>
    <row r="28" ht="15.75" customHeight="1">
      <c r="A28" s="23"/>
      <c r="B28" s="23"/>
      <c r="C28" s="23"/>
      <c r="D28" s="23"/>
      <c r="E28" s="23"/>
      <c r="F28" s="23"/>
      <c r="G28" s="23"/>
      <c r="I28" s="23"/>
      <c r="K28" s="23"/>
      <c r="L28" s="23"/>
      <c r="M28" s="23"/>
      <c r="N28" s="23"/>
      <c r="O28" s="23"/>
      <c r="P28" s="23"/>
    </row>
    <row r="29" ht="15.75" customHeight="1">
      <c r="A29" s="23"/>
      <c r="B29" s="23"/>
      <c r="C29" s="23"/>
      <c r="D29" s="23"/>
      <c r="E29" s="23"/>
      <c r="F29" s="23"/>
      <c r="G29" s="23"/>
      <c r="I29" s="23"/>
      <c r="K29" s="23"/>
      <c r="L29" s="23"/>
      <c r="M29" s="23"/>
      <c r="N29" s="23"/>
      <c r="O29" s="23"/>
      <c r="P29" s="23"/>
    </row>
    <row r="30" ht="15.75" customHeight="1">
      <c r="A30" s="23"/>
      <c r="B30" s="23"/>
      <c r="C30" s="23"/>
      <c r="D30" s="23"/>
      <c r="E30" s="23"/>
      <c r="F30" s="23"/>
      <c r="G30" s="23"/>
      <c r="I30" s="23"/>
      <c r="K30" s="23"/>
      <c r="L30" s="23"/>
      <c r="M30" s="23"/>
      <c r="N30" s="23"/>
      <c r="O30" s="23"/>
      <c r="P30" s="23"/>
    </row>
    <row r="31" ht="15.75" customHeight="1">
      <c r="A31" s="23"/>
      <c r="B31" s="23"/>
      <c r="C31" s="23"/>
      <c r="D31" s="23"/>
      <c r="E31" s="23"/>
      <c r="F31" s="23"/>
      <c r="G31" s="23"/>
      <c r="I31" s="23"/>
      <c r="K31" s="23"/>
      <c r="L31" s="23"/>
      <c r="M31" s="23"/>
      <c r="N31" s="23"/>
      <c r="O31" s="23"/>
      <c r="P31" s="23"/>
    </row>
    <row r="32" ht="15.75" customHeight="1">
      <c r="A32" s="23"/>
      <c r="B32" s="23"/>
      <c r="C32" s="23"/>
      <c r="D32" s="23"/>
      <c r="E32" s="23"/>
      <c r="F32" s="23"/>
      <c r="G32" s="23"/>
      <c r="I32" s="23"/>
      <c r="K32" s="23"/>
      <c r="L32" s="23"/>
      <c r="M32" s="23"/>
      <c r="N32" s="23"/>
      <c r="O32" s="23"/>
      <c r="P32" s="23"/>
    </row>
    <row r="33" ht="15.75" customHeight="1">
      <c r="A33" s="23"/>
      <c r="B33" s="23"/>
      <c r="C33" s="23"/>
      <c r="D33" s="23"/>
      <c r="E33" s="23"/>
      <c r="F33" s="23"/>
      <c r="G33" s="23"/>
      <c r="I33" s="23"/>
      <c r="K33" s="23"/>
      <c r="L33" s="23"/>
      <c r="M33" s="23"/>
      <c r="N33" s="23"/>
      <c r="O33" s="23"/>
      <c r="P33" s="23"/>
    </row>
    <row r="34" ht="15.75" customHeight="1">
      <c r="A34" s="23"/>
      <c r="B34" s="23"/>
      <c r="C34" s="23"/>
      <c r="D34" s="23"/>
      <c r="E34" s="23"/>
      <c r="F34" s="23"/>
      <c r="G34" s="23"/>
      <c r="I34" s="23"/>
      <c r="K34" s="23"/>
      <c r="L34" s="23"/>
      <c r="M34" s="23"/>
      <c r="N34" s="23"/>
      <c r="O34" s="23"/>
      <c r="P34" s="23"/>
    </row>
    <row r="35" ht="15.75" customHeight="1">
      <c r="A35" s="23"/>
      <c r="B35" s="23"/>
      <c r="C35" s="23"/>
      <c r="D35" s="23"/>
      <c r="E35" s="23"/>
      <c r="F35" s="23"/>
      <c r="G35" s="23"/>
      <c r="I35" s="23"/>
      <c r="K35" s="23"/>
      <c r="L35" s="23"/>
      <c r="M35" s="23"/>
      <c r="N35" s="23"/>
      <c r="O35" s="23"/>
      <c r="P35" s="23"/>
    </row>
    <row r="36" ht="15.75" customHeight="1">
      <c r="A36" s="23"/>
      <c r="B36" s="23"/>
      <c r="C36" s="23"/>
      <c r="D36" s="23"/>
      <c r="E36" s="23"/>
      <c r="F36" s="23"/>
      <c r="G36" s="23"/>
      <c r="I36" s="23"/>
      <c r="K36" s="23"/>
      <c r="L36" s="23"/>
      <c r="M36" s="23"/>
      <c r="N36" s="23"/>
      <c r="O36" s="23"/>
      <c r="P36" s="23"/>
    </row>
    <row r="37" ht="15.75" customHeight="1">
      <c r="A37" s="23"/>
      <c r="B37" s="23"/>
      <c r="C37" s="23"/>
      <c r="D37" s="23"/>
      <c r="E37" s="23"/>
      <c r="F37" s="23"/>
      <c r="G37" s="23"/>
      <c r="I37" s="23"/>
      <c r="K37" s="23"/>
      <c r="L37" s="23"/>
      <c r="M37" s="23"/>
      <c r="N37" s="23"/>
      <c r="O37" s="23"/>
      <c r="P37" s="23"/>
    </row>
    <row r="38" ht="15.75" customHeight="1">
      <c r="A38" s="23"/>
      <c r="B38" s="23"/>
      <c r="C38" s="23"/>
      <c r="D38" s="23"/>
      <c r="E38" s="23"/>
      <c r="F38" s="23"/>
      <c r="G38" s="23"/>
      <c r="I38" s="23"/>
      <c r="K38" s="23"/>
      <c r="L38" s="23"/>
      <c r="M38" s="23"/>
      <c r="N38" s="23"/>
      <c r="O38" s="23"/>
      <c r="P38" s="23"/>
    </row>
    <row r="39" ht="15.75" customHeight="1">
      <c r="A39" s="23"/>
      <c r="B39" s="23"/>
      <c r="C39" s="23"/>
      <c r="D39" s="23"/>
      <c r="E39" s="23"/>
      <c r="F39" s="23"/>
      <c r="G39" s="23"/>
      <c r="I39" s="23"/>
      <c r="K39" s="23"/>
      <c r="L39" s="23"/>
      <c r="M39" s="23"/>
      <c r="N39" s="23"/>
      <c r="O39" s="23"/>
      <c r="P39" s="23"/>
    </row>
    <row r="40" ht="15.75" customHeight="1">
      <c r="A40" s="23"/>
      <c r="B40" s="23"/>
      <c r="C40" s="23"/>
      <c r="D40" s="23"/>
      <c r="E40" s="23"/>
      <c r="F40" s="23"/>
      <c r="G40" s="23"/>
      <c r="I40" s="23"/>
      <c r="K40" s="23"/>
      <c r="L40" s="23"/>
      <c r="M40" s="23"/>
      <c r="N40" s="23"/>
      <c r="O40" s="23"/>
      <c r="P40" s="23"/>
    </row>
    <row r="41" ht="15.75" customHeight="1">
      <c r="A41" s="23"/>
      <c r="B41" s="23"/>
      <c r="C41" s="23"/>
      <c r="D41" s="23"/>
      <c r="E41" s="23"/>
      <c r="F41" s="23"/>
      <c r="G41" s="23"/>
      <c r="I41" s="23"/>
      <c r="K41" s="23"/>
      <c r="L41" s="23"/>
      <c r="M41" s="23"/>
      <c r="N41" s="23"/>
      <c r="O41" s="23"/>
      <c r="P41" s="23"/>
    </row>
    <row r="42" ht="15.75" customHeight="1">
      <c r="A42" s="23"/>
      <c r="B42" s="23"/>
      <c r="C42" s="23"/>
      <c r="D42" s="23"/>
      <c r="E42" s="23"/>
      <c r="F42" s="23"/>
      <c r="G42" s="23"/>
      <c r="I42" s="23"/>
      <c r="K42" s="23"/>
      <c r="L42" s="23"/>
      <c r="M42" s="23"/>
      <c r="N42" s="23"/>
      <c r="O42" s="23"/>
      <c r="P42" s="23"/>
    </row>
    <row r="43" ht="15.75" customHeight="1">
      <c r="A43" s="23"/>
      <c r="B43" s="23"/>
      <c r="C43" s="23"/>
      <c r="D43" s="23"/>
      <c r="E43" s="23"/>
      <c r="F43" s="23"/>
      <c r="G43" s="23"/>
      <c r="I43" s="23"/>
      <c r="K43" s="23"/>
      <c r="L43" s="23"/>
      <c r="M43" s="23"/>
      <c r="N43" s="23"/>
      <c r="O43" s="23"/>
      <c r="P43" s="23"/>
    </row>
    <row r="44" ht="15.75" customHeight="1">
      <c r="A44" s="23"/>
      <c r="B44" s="23"/>
      <c r="C44" s="23"/>
      <c r="D44" s="23"/>
      <c r="E44" s="23"/>
      <c r="F44" s="23"/>
      <c r="G44" s="23"/>
      <c r="I44" s="23"/>
      <c r="K44" s="23"/>
      <c r="L44" s="23"/>
      <c r="M44" s="23"/>
      <c r="N44" s="23"/>
      <c r="O44" s="23"/>
      <c r="P44" s="23"/>
    </row>
    <row r="45" ht="15.75" customHeight="1">
      <c r="A45" s="23"/>
      <c r="B45" s="23"/>
      <c r="C45" s="23"/>
      <c r="D45" s="23"/>
      <c r="E45" s="23"/>
      <c r="F45" s="23"/>
      <c r="G45" s="23"/>
      <c r="I45" s="23"/>
      <c r="K45" s="23"/>
      <c r="L45" s="23"/>
      <c r="M45" s="23"/>
      <c r="N45" s="23"/>
      <c r="O45" s="23"/>
      <c r="P45" s="23"/>
    </row>
    <row r="46" ht="15.75" customHeight="1">
      <c r="A46" s="23"/>
      <c r="B46" s="23"/>
      <c r="C46" s="23"/>
      <c r="D46" s="23"/>
      <c r="E46" s="23"/>
      <c r="F46" s="23"/>
      <c r="G46" s="23"/>
      <c r="I46" s="23"/>
      <c r="K46" s="23"/>
      <c r="L46" s="23"/>
      <c r="M46" s="23"/>
      <c r="N46" s="23"/>
      <c r="O46" s="23"/>
      <c r="P46" s="23"/>
    </row>
    <row r="47" ht="15.75" customHeight="1">
      <c r="A47" s="23"/>
      <c r="B47" s="23"/>
      <c r="C47" s="23"/>
      <c r="D47" s="23"/>
      <c r="E47" s="23"/>
      <c r="F47" s="23"/>
      <c r="G47" s="23"/>
      <c r="I47" s="23"/>
      <c r="K47" s="23"/>
      <c r="L47" s="23"/>
      <c r="M47" s="23"/>
      <c r="N47" s="23"/>
      <c r="O47" s="23"/>
      <c r="P47" s="23"/>
    </row>
    <row r="48" ht="15.75" customHeight="1">
      <c r="A48" s="23"/>
      <c r="B48" s="23"/>
      <c r="C48" s="23"/>
      <c r="D48" s="23"/>
      <c r="E48" s="23"/>
      <c r="F48" s="23"/>
      <c r="G48" s="23"/>
      <c r="I48" s="23"/>
      <c r="K48" s="23"/>
      <c r="L48" s="23"/>
      <c r="M48" s="23"/>
      <c r="N48" s="23"/>
      <c r="O48" s="23"/>
      <c r="P48" s="23"/>
    </row>
    <row r="49" ht="15.75" customHeight="1">
      <c r="A49" s="23"/>
      <c r="B49" s="23"/>
      <c r="C49" s="23"/>
      <c r="D49" s="23"/>
      <c r="E49" s="23"/>
      <c r="F49" s="23"/>
      <c r="G49" s="23"/>
      <c r="I49" s="23"/>
      <c r="K49" s="23"/>
      <c r="L49" s="23"/>
      <c r="M49" s="23"/>
      <c r="N49" s="23"/>
      <c r="O49" s="23"/>
      <c r="P49" s="23"/>
    </row>
    <row r="50" ht="15.75" customHeight="1">
      <c r="A50" s="23"/>
      <c r="B50" s="23"/>
      <c r="C50" s="23"/>
      <c r="D50" s="23"/>
      <c r="E50" s="23"/>
      <c r="F50" s="23"/>
      <c r="G50" s="23"/>
      <c r="I50" s="23"/>
      <c r="K50" s="23"/>
      <c r="L50" s="23"/>
      <c r="M50" s="23"/>
      <c r="N50" s="23"/>
      <c r="O50" s="23"/>
      <c r="P50" s="23"/>
    </row>
    <row r="51" ht="15.75" customHeight="1">
      <c r="A51" s="23"/>
      <c r="B51" s="23"/>
      <c r="C51" s="23"/>
      <c r="D51" s="23"/>
      <c r="E51" s="23"/>
      <c r="F51" s="23"/>
      <c r="G51" s="23"/>
      <c r="I51" s="23"/>
      <c r="K51" s="23"/>
      <c r="L51" s="23"/>
      <c r="M51" s="23"/>
      <c r="N51" s="23"/>
      <c r="O51" s="23"/>
      <c r="P51" s="23"/>
    </row>
    <row r="52" ht="15.75" customHeight="1">
      <c r="A52" s="23"/>
      <c r="B52" s="23"/>
      <c r="C52" s="23"/>
      <c r="D52" s="23"/>
      <c r="E52" s="23"/>
      <c r="F52" s="23"/>
      <c r="G52" s="23"/>
      <c r="I52" s="23"/>
      <c r="K52" s="23"/>
      <c r="L52" s="23"/>
      <c r="M52" s="23"/>
      <c r="N52" s="23"/>
      <c r="O52" s="23"/>
      <c r="P52" s="23"/>
    </row>
    <row r="53" ht="15.75" customHeight="1">
      <c r="A53" s="23"/>
      <c r="B53" s="23"/>
      <c r="C53" s="23"/>
      <c r="D53" s="23"/>
      <c r="E53" s="23"/>
      <c r="F53" s="23"/>
      <c r="G53" s="23"/>
      <c r="I53" s="23"/>
      <c r="K53" s="23"/>
      <c r="L53" s="23"/>
      <c r="M53" s="23"/>
      <c r="N53" s="23"/>
      <c r="O53" s="23"/>
      <c r="P53" s="23"/>
    </row>
    <row r="54" ht="15.75" customHeight="1">
      <c r="A54" s="23"/>
      <c r="B54" s="23"/>
      <c r="C54" s="23"/>
      <c r="D54" s="23"/>
      <c r="E54" s="23"/>
      <c r="F54" s="23"/>
      <c r="G54" s="23"/>
      <c r="I54" s="23"/>
      <c r="K54" s="23"/>
      <c r="L54" s="23"/>
      <c r="M54" s="23"/>
      <c r="N54" s="23"/>
      <c r="O54" s="23"/>
      <c r="P54" s="23"/>
    </row>
    <row r="55" ht="15.75" customHeight="1">
      <c r="A55" s="23"/>
      <c r="B55" s="23"/>
      <c r="C55" s="23"/>
      <c r="D55" s="23"/>
      <c r="E55" s="23"/>
      <c r="F55" s="23"/>
      <c r="G55" s="23"/>
      <c r="I55" s="23"/>
      <c r="K55" s="23"/>
      <c r="L55" s="23"/>
      <c r="M55" s="23"/>
      <c r="N55" s="23"/>
      <c r="O55" s="23"/>
      <c r="P55" s="23"/>
    </row>
    <row r="56" ht="15.75" customHeight="1">
      <c r="A56" s="23"/>
      <c r="B56" s="23"/>
      <c r="C56" s="23"/>
      <c r="D56" s="23"/>
      <c r="E56" s="23"/>
      <c r="F56" s="23"/>
      <c r="G56" s="23"/>
      <c r="I56" s="23"/>
      <c r="K56" s="23"/>
      <c r="L56" s="23"/>
      <c r="M56" s="23"/>
      <c r="N56" s="23"/>
      <c r="O56" s="23"/>
      <c r="P56" s="23"/>
    </row>
    <row r="57" ht="15.75" customHeight="1">
      <c r="A57" s="23"/>
      <c r="B57" s="23"/>
      <c r="C57" s="23"/>
      <c r="D57" s="23"/>
      <c r="E57" s="23"/>
      <c r="F57" s="23"/>
      <c r="G57" s="23"/>
      <c r="I57" s="23"/>
      <c r="K57" s="23"/>
      <c r="L57" s="23"/>
      <c r="M57" s="23"/>
      <c r="N57" s="23"/>
      <c r="O57" s="23"/>
      <c r="P57" s="23"/>
    </row>
    <row r="58" ht="15.75" customHeight="1">
      <c r="A58" s="23"/>
      <c r="B58" s="23"/>
      <c r="C58" s="23"/>
      <c r="D58" s="23"/>
      <c r="E58" s="23"/>
      <c r="F58" s="23"/>
      <c r="G58" s="23"/>
      <c r="I58" s="23"/>
      <c r="K58" s="23"/>
      <c r="L58" s="23"/>
      <c r="M58" s="23"/>
      <c r="N58" s="23"/>
      <c r="O58" s="23"/>
      <c r="P58" s="23"/>
    </row>
    <row r="59" ht="15.75" customHeight="1">
      <c r="A59" s="23"/>
      <c r="B59" s="23"/>
      <c r="C59" s="23"/>
      <c r="D59" s="23"/>
      <c r="E59" s="23"/>
      <c r="F59" s="23"/>
      <c r="G59" s="23"/>
      <c r="I59" s="23"/>
      <c r="K59" s="23"/>
      <c r="L59" s="23"/>
      <c r="M59" s="23"/>
      <c r="N59" s="23"/>
      <c r="O59" s="23"/>
      <c r="P59" s="23"/>
    </row>
    <row r="60" ht="15.75" customHeight="1">
      <c r="A60" s="23"/>
      <c r="B60" s="23"/>
      <c r="C60" s="23"/>
      <c r="D60" s="23"/>
      <c r="E60" s="23"/>
      <c r="F60" s="23"/>
      <c r="G60" s="23"/>
      <c r="I60" s="23"/>
      <c r="K60" s="23"/>
      <c r="L60" s="23"/>
      <c r="M60" s="23"/>
      <c r="N60" s="23"/>
      <c r="O60" s="23"/>
      <c r="P60" s="23"/>
    </row>
    <row r="61" ht="15.75" customHeight="1">
      <c r="A61" s="23"/>
      <c r="B61" s="23"/>
      <c r="C61" s="23"/>
      <c r="D61" s="23"/>
      <c r="E61" s="23"/>
      <c r="F61" s="23"/>
      <c r="G61" s="23"/>
      <c r="I61" s="23"/>
      <c r="K61" s="23"/>
      <c r="L61" s="23"/>
      <c r="M61" s="23"/>
      <c r="N61" s="23"/>
      <c r="O61" s="23"/>
      <c r="P61" s="23"/>
    </row>
    <row r="62" ht="15.75" customHeight="1">
      <c r="A62" s="23"/>
      <c r="B62" s="23"/>
      <c r="C62" s="23"/>
      <c r="D62" s="23"/>
      <c r="E62" s="23"/>
      <c r="F62" s="23"/>
      <c r="G62" s="23"/>
      <c r="I62" s="23"/>
      <c r="K62" s="23"/>
      <c r="L62" s="23"/>
      <c r="M62" s="23"/>
      <c r="N62" s="23"/>
      <c r="O62" s="23"/>
      <c r="P62" s="23"/>
    </row>
    <row r="63" ht="15.75" customHeight="1">
      <c r="A63" s="23"/>
      <c r="B63" s="23"/>
      <c r="C63" s="23"/>
      <c r="D63" s="23"/>
      <c r="E63" s="23"/>
      <c r="F63" s="23"/>
      <c r="G63" s="23"/>
      <c r="I63" s="23"/>
      <c r="K63" s="23"/>
      <c r="L63" s="23"/>
      <c r="M63" s="23"/>
      <c r="N63" s="23"/>
      <c r="O63" s="23"/>
      <c r="P63" s="23"/>
    </row>
    <row r="64" ht="15.75" customHeight="1">
      <c r="A64" s="23"/>
      <c r="B64" s="23"/>
      <c r="C64" s="23"/>
      <c r="D64" s="23"/>
      <c r="E64" s="23"/>
      <c r="F64" s="23"/>
      <c r="G64" s="23"/>
      <c r="I64" s="23"/>
      <c r="K64" s="23"/>
      <c r="L64" s="23"/>
      <c r="M64" s="23"/>
      <c r="N64" s="23"/>
      <c r="O64" s="23"/>
      <c r="P64" s="23"/>
    </row>
    <row r="65" ht="15.75" customHeight="1">
      <c r="A65" s="23"/>
      <c r="B65" s="23"/>
      <c r="C65" s="23"/>
      <c r="D65" s="23"/>
      <c r="E65" s="23"/>
      <c r="F65" s="23"/>
      <c r="G65" s="23"/>
      <c r="I65" s="23"/>
      <c r="K65" s="23"/>
      <c r="L65" s="23"/>
      <c r="M65" s="23"/>
      <c r="N65" s="23"/>
      <c r="O65" s="23"/>
      <c r="P65" s="23"/>
    </row>
    <row r="66" ht="15.75" customHeight="1">
      <c r="A66" s="23"/>
      <c r="B66" s="23"/>
      <c r="C66" s="23"/>
      <c r="D66" s="23"/>
      <c r="E66" s="23"/>
      <c r="F66" s="23"/>
      <c r="G66" s="23"/>
      <c r="I66" s="23"/>
      <c r="K66" s="23"/>
      <c r="L66" s="23"/>
      <c r="M66" s="23"/>
      <c r="N66" s="23"/>
      <c r="O66" s="23"/>
      <c r="P66" s="23"/>
    </row>
    <row r="67" ht="15.75" customHeight="1">
      <c r="A67" s="23"/>
      <c r="B67" s="23"/>
      <c r="C67" s="23"/>
      <c r="D67" s="23"/>
      <c r="E67" s="23"/>
      <c r="F67" s="23"/>
      <c r="G67" s="23"/>
      <c r="I67" s="23"/>
      <c r="K67" s="23"/>
      <c r="L67" s="23"/>
      <c r="M67" s="23"/>
      <c r="N67" s="23"/>
      <c r="O67" s="23"/>
      <c r="P67" s="23"/>
    </row>
    <row r="68" ht="15.75" customHeight="1">
      <c r="A68" s="23"/>
      <c r="B68" s="23"/>
      <c r="C68" s="23"/>
      <c r="D68" s="23"/>
      <c r="E68" s="23"/>
      <c r="F68" s="23"/>
      <c r="G68" s="23"/>
      <c r="I68" s="23"/>
      <c r="K68" s="23"/>
      <c r="L68" s="23"/>
      <c r="M68" s="23"/>
      <c r="N68" s="23"/>
      <c r="O68" s="23"/>
      <c r="P68" s="23"/>
    </row>
    <row r="69" ht="15.75" customHeight="1">
      <c r="A69" s="23"/>
      <c r="B69" s="23"/>
      <c r="C69" s="23"/>
      <c r="D69" s="23"/>
      <c r="E69" s="23"/>
      <c r="F69" s="23"/>
      <c r="G69" s="23"/>
      <c r="I69" s="23"/>
      <c r="K69" s="23"/>
      <c r="L69" s="23"/>
      <c r="M69" s="23"/>
      <c r="N69" s="23"/>
      <c r="O69" s="23"/>
      <c r="P69" s="23"/>
    </row>
    <row r="70" ht="15.75" customHeight="1">
      <c r="A70" s="23"/>
      <c r="B70" s="23"/>
      <c r="C70" s="23"/>
      <c r="D70" s="23"/>
      <c r="E70" s="23"/>
      <c r="F70" s="23"/>
      <c r="G70" s="23"/>
      <c r="I70" s="23"/>
      <c r="K70" s="23"/>
      <c r="L70" s="23"/>
      <c r="M70" s="23"/>
      <c r="N70" s="23"/>
      <c r="O70" s="23"/>
      <c r="P70" s="23"/>
    </row>
    <row r="71" ht="15.75" customHeight="1">
      <c r="A71" s="23"/>
      <c r="B71" s="23"/>
      <c r="C71" s="23"/>
      <c r="D71" s="23"/>
      <c r="E71" s="23"/>
      <c r="F71" s="23"/>
      <c r="G71" s="23"/>
      <c r="I71" s="23"/>
      <c r="K71" s="23"/>
      <c r="L71" s="23"/>
      <c r="M71" s="23"/>
      <c r="N71" s="23"/>
      <c r="O71" s="23"/>
      <c r="P71" s="23"/>
    </row>
    <row r="72" ht="15.75" customHeight="1">
      <c r="A72" s="23"/>
      <c r="B72" s="23"/>
      <c r="C72" s="23"/>
      <c r="D72" s="23"/>
      <c r="E72" s="23"/>
      <c r="F72" s="23"/>
      <c r="G72" s="23"/>
      <c r="I72" s="23"/>
      <c r="K72" s="23"/>
      <c r="L72" s="23"/>
      <c r="M72" s="23"/>
      <c r="N72" s="23"/>
      <c r="O72" s="23"/>
      <c r="P72" s="23"/>
    </row>
    <row r="73" ht="15.75" customHeight="1">
      <c r="A73" s="23"/>
      <c r="B73" s="23"/>
      <c r="C73" s="23"/>
      <c r="D73" s="23"/>
      <c r="E73" s="23"/>
      <c r="F73" s="23"/>
      <c r="G73" s="23"/>
      <c r="I73" s="23"/>
      <c r="K73" s="23"/>
      <c r="L73" s="23"/>
      <c r="M73" s="23"/>
      <c r="N73" s="23"/>
      <c r="O73" s="23"/>
      <c r="P73" s="23"/>
    </row>
    <row r="74" ht="15.75" customHeight="1">
      <c r="A74" s="23"/>
      <c r="B74" s="23"/>
      <c r="C74" s="23"/>
      <c r="D74" s="23"/>
      <c r="E74" s="23"/>
      <c r="F74" s="23"/>
      <c r="G74" s="23"/>
      <c r="I74" s="23"/>
      <c r="K74" s="23"/>
      <c r="L74" s="23"/>
      <c r="M74" s="23"/>
      <c r="N74" s="23"/>
      <c r="O74" s="23"/>
      <c r="P74" s="23"/>
    </row>
    <row r="75" ht="15.75" customHeight="1">
      <c r="A75" s="23"/>
      <c r="B75" s="23"/>
      <c r="C75" s="23"/>
      <c r="D75" s="23"/>
      <c r="E75" s="23"/>
      <c r="F75" s="23"/>
      <c r="G75" s="23"/>
      <c r="I75" s="23"/>
      <c r="K75" s="23"/>
      <c r="L75" s="23"/>
      <c r="M75" s="23"/>
      <c r="N75" s="23"/>
      <c r="O75" s="23"/>
      <c r="P75" s="23"/>
    </row>
    <row r="76" ht="15.75" customHeight="1">
      <c r="A76" s="23"/>
      <c r="B76" s="23"/>
      <c r="C76" s="23"/>
      <c r="D76" s="23"/>
      <c r="E76" s="23"/>
      <c r="F76" s="23"/>
      <c r="G76" s="23"/>
      <c r="I76" s="23"/>
      <c r="K76" s="23"/>
      <c r="L76" s="23"/>
      <c r="M76" s="23"/>
      <c r="N76" s="23"/>
      <c r="O76" s="23"/>
      <c r="P76" s="23"/>
    </row>
    <row r="77" ht="15.75" customHeight="1">
      <c r="A77" s="23"/>
      <c r="B77" s="23"/>
      <c r="C77" s="23"/>
      <c r="D77" s="23"/>
      <c r="E77" s="23"/>
      <c r="F77" s="23"/>
      <c r="G77" s="23"/>
      <c r="I77" s="23"/>
      <c r="K77" s="23"/>
      <c r="L77" s="23"/>
      <c r="M77" s="23"/>
      <c r="N77" s="23"/>
      <c r="O77" s="23"/>
      <c r="P77" s="23"/>
    </row>
    <row r="78" ht="15.75" customHeight="1">
      <c r="A78" s="23"/>
      <c r="B78" s="23"/>
      <c r="C78" s="23"/>
      <c r="D78" s="23"/>
      <c r="E78" s="23"/>
      <c r="F78" s="23"/>
      <c r="G78" s="23"/>
      <c r="I78" s="23"/>
      <c r="K78" s="23"/>
      <c r="L78" s="23"/>
      <c r="M78" s="23"/>
      <c r="N78" s="23"/>
      <c r="O78" s="23"/>
      <c r="P78" s="23"/>
    </row>
    <row r="79" ht="15.75" customHeight="1">
      <c r="A79" s="23"/>
      <c r="B79" s="23"/>
      <c r="C79" s="23"/>
      <c r="D79" s="23"/>
      <c r="E79" s="23"/>
      <c r="F79" s="23"/>
      <c r="G79" s="23"/>
      <c r="I79" s="23"/>
      <c r="K79" s="23"/>
      <c r="L79" s="23"/>
      <c r="M79" s="23"/>
      <c r="N79" s="23"/>
      <c r="O79" s="23"/>
      <c r="P79" s="23"/>
    </row>
    <row r="80" ht="15.75" customHeight="1">
      <c r="A80" s="23"/>
      <c r="B80" s="23"/>
      <c r="C80" s="23"/>
      <c r="D80" s="23"/>
      <c r="E80" s="23"/>
      <c r="F80" s="23"/>
      <c r="G80" s="23"/>
      <c r="I80" s="23"/>
      <c r="K80" s="23"/>
      <c r="L80" s="23"/>
      <c r="M80" s="23"/>
      <c r="N80" s="23"/>
      <c r="O80" s="23"/>
      <c r="P80" s="23"/>
    </row>
    <row r="81" ht="15.75" customHeight="1">
      <c r="A81" s="23"/>
      <c r="B81" s="23"/>
      <c r="C81" s="23"/>
      <c r="D81" s="23"/>
      <c r="E81" s="23"/>
      <c r="F81" s="23"/>
      <c r="G81" s="23"/>
      <c r="I81" s="23"/>
      <c r="K81" s="23"/>
      <c r="L81" s="23"/>
      <c r="M81" s="23"/>
      <c r="N81" s="23"/>
      <c r="O81" s="23"/>
      <c r="P81" s="23"/>
    </row>
    <row r="82" ht="15.75" customHeight="1">
      <c r="A82" s="23"/>
      <c r="B82" s="23"/>
      <c r="C82" s="23"/>
      <c r="D82" s="23"/>
      <c r="E82" s="23"/>
      <c r="F82" s="23"/>
      <c r="G82" s="23"/>
      <c r="I82" s="23"/>
      <c r="K82" s="23"/>
      <c r="L82" s="23"/>
      <c r="M82" s="23"/>
      <c r="N82" s="23"/>
      <c r="O82" s="23"/>
      <c r="P82" s="23"/>
    </row>
    <row r="83" ht="15.75" customHeight="1">
      <c r="A83" s="23"/>
      <c r="B83" s="23"/>
      <c r="C83" s="23"/>
      <c r="D83" s="23"/>
      <c r="E83" s="23"/>
      <c r="F83" s="23"/>
      <c r="G83" s="23"/>
      <c r="I83" s="23"/>
      <c r="K83" s="23"/>
      <c r="L83" s="23"/>
      <c r="M83" s="23"/>
      <c r="N83" s="23"/>
      <c r="O83" s="23"/>
      <c r="P83" s="23"/>
    </row>
    <row r="84" ht="15.75" customHeight="1">
      <c r="A84" s="23"/>
      <c r="B84" s="23"/>
      <c r="C84" s="23"/>
      <c r="D84" s="23"/>
      <c r="E84" s="23"/>
      <c r="F84" s="23"/>
      <c r="G84" s="23"/>
      <c r="I84" s="23"/>
      <c r="K84" s="23"/>
      <c r="L84" s="23"/>
      <c r="M84" s="23"/>
      <c r="N84" s="23"/>
      <c r="O84" s="23"/>
      <c r="P84" s="23"/>
    </row>
    <row r="85" ht="15.75" customHeight="1">
      <c r="A85" s="23"/>
      <c r="B85" s="23"/>
      <c r="C85" s="23"/>
      <c r="D85" s="23"/>
      <c r="E85" s="23"/>
      <c r="F85" s="23"/>
      <c r="G85" s="23"/>
      <c r="I85" s="23"/>
      <c r="K85" s="23"/>
      <c r="L85" s="23"/>
      <c r="M85" s="23"/>
      <c r="N85" s="23"/>
      <c r="O85" s="23"/>
      <c r="P85" s="23"/>
    </row>
    <row r="86" ht="15.75" customHeight="1">
      <c r="A86" s="23"/>
      <c r="B86" s="23"/>
      <c r="C86" s="23"/>
      <c r="D86" s="23"/>
      <c r="E86" s="23"/>
      <c r="F86" s="23"/>
      <c r="G86" s="23"/>
      <c r="I86" s="23"/>
      <c r="K86" s="23"/>
      <c r="L86" s="23"/>
      <c r="M86" s="23"/>
      <c r="N86" s="23"/>
      <c r="O86" s="23"/>
      <c r="P86" s="23"/>
    </row>
    <row r="87" ht="15.75" customHeight="1">
      <c r="A87" s="23"/>
      <c r="B87" s="23"/>
      <c r="C87" s="23"/>
      <c r="D87" s="23"/>
      <c r="E87" s="23"/>
      <c r="F87" s="23"/>
      <c r="G87" s="23"/>
      <c r="I87" s="23"/>
      <c r="K87" s="23"/>
      <c r="L87" s="23"/>
      <c r="M87" s="23"/>
      <c r="N87" s="23"/>
      <c r="O87" s="23"/>
      <c r="P87" s="23"/>
    </row>
    <row r="88" ht="15.75" customHeight="1">
      <c r="A88" s="23"/>
      <c r="B88" s="23"/>
      <c r="C88" s="23"/>
      <c r="D88" s="23"/>
      <c r="E88" s="23"/>
      <c r="F88" s="23"/>
      <c r="G88" s="23"/>
      <c r="I88" s="23"/>
      <c r="K88" s="23"/>
      <c r="L88" s="23"/>
      <c r="M88" s="23"/>
      <c r="N88" s="23"/>
      <c r="O88" s="23"/>
      <c r="P88" s="23"/>
    </row>
    <row r="89" ht="15.75" customHeight="1">
      <c r="A89" s="23"/>
      <c r="B89" s="23"/>
      <c r="C89" s="23"/>
      <c r="D89" s="23"/>
      <c r="E89" s="23"/>
      <c r="F89" s="23"/>
      <c r="G89" s="23"/>
      <c r="I89" s="23"/>
      <c r="K89" s="23"/>
      <c r="L89" s="23"/>
      <c r="M89" s="23"/>
      <c r="N89" s="23"/>
      <c r="O89" s="23"/>
      <c r="P89" s="23"/>
    </row>
    <row r="90" ht="15.75" customHeight="1">
      <c r="A90" s="23"/>
      <c r="B90" s="23"/>
      <c r="C90" s="23"/>
      <c r="D90" s="23"/>
      <c r="E90" s="23"/>
      <c r="F90" s="23"/>
      <c r="G90" s="23"/>
      <c r="I90" s="23"/>
      <c r="K90" s="23"/>
      <c r="L90" s="23"/>
      <c r="M90" s="23"/>
      <c r="N90" s="23"/>
      <c r="O90" s="23"/>
      <c r="P90" s="23"/>
    </row>
    <row r="91" ht="15.75" customHeight="1">
      <c r="A91" s="23"/>
      <c r="B91" s="23"/>
      <c r="C91" s="23"/>
      <c r="D91" s="23"/>
      <c r="E91" s="23"/>
      <c r="F91" s="23"/>
      <c r="G91" s="23"/>
      <c r="I91" s="23"/>
      <c r="K91" s="23"/>
      <c r="L91" s="23"/>
      <c r="M91" s="23"/>
      <c r="N91" s="23"/>
      <c r="O91" s="23"/>
      <c r="P91" s="23"/>
    </row>
    <row r="92" ht="15.75" customHeight="1">
      <c r="A92" s="23"/>
      <c r="B92" s="23"/>
      <c r="C92" s="23"/>
      <c r="D92" s="23"/>
      <c r="E92" s="23"/>
      <c r="F92" s="23"/>
      <c r="G92" s="23"/>
      <c r="I92" s="23"/>
      <c r="K92" s="23"/>
      <c r="L92" s="23"/>
      <c r="M92" s="23"/>
      <c r="N92" s="23"/>
      <c r="O92" s="23"/>
      <c r="P92" s="23"/>
    </row>
    <row r="93" ht="15.75" customHeight="1">
      <c r="A93" s="23"/>
      <c r="B93" s="23"/>
      <c r="C93" s="23"/>
      <c r="D93" s="23"/>
      <c r="E93" s="23"/>
      <c r="F93" s="23"/>
      <c r="G93" s="23"/>
      <c r="I93" s="23"/>
      <c r="K93" s="23"/>
      <c r="L93" s="23"/>
      <c r="M93" s="23"/>
      <c r="N93" s="23"/>
      <c r="O93" s="23"/>
      <c r="P93" s="23"/>
    </row>
    <row r="94" ht="15.75" customHeight="1">
      <c r="A94" s="23"/>
      <c r="B94" s="23"/>
      <c r="C94" s="23"/>
      <c r="D94" s="23"/>
      <c r="E94" s="23"/>
      <c r="F94" s="23"/>
      <c r="G94" s="23"/>
      <c r="I94" s="23"/>
      <c r="K94" s="23"/>
      <c r="L94" s="23"/>
      <c r="M94" s="23"/>
      <c r="N94" s="23"/>
      <c r="O94" s="23"/>
      <c r="P94" s="23"/>
    </row>
    <row r="95" ht="15.75" customHeight="1">
      <c r="A95" s="23"/>
      <c r="B95" s="23"/>
      <c r="C95" s="23"/>
      <c r="D95" s="23"/>
      <c r="E95" s="23"/>
      <c r="F95" s="23"/>
      <c r="G95" s="23"/>
      <c r="I95" s="23"/>
      <c r="K95" s="23"/>
      <c r="L95" s="23"/>
      <c r="M95" s="23"/>
      <c r="N95" s="23"/>
      <c r="O95" s="23"/>
      <c r="P95" s="23"/>
    </row>
    <row r="96" ht="15.75" customHeight="1">
      <c r="A96" s="23"/>
      <c r="B96" s="23"/>
      <c r="C96" s="23"/>
      <c r="D96" s="23"/>
      <c r="E96" s="23"/>
      <c r="F96" s="23"/>
      <c r="G96" s="23"/>
      <c r="I96" s="23"/>
      <c r="K96" s="23"/>
      <c r="L96" s="23"/>
      <c r="M96" s="23"/>
      <c r="N96" s="23"/>
      <c r="O96" s="23"/>
      <c r="P96" s="23"/>
    </row>
    <row r="97" ht="15.75" customHeight="1">
      <c r="A97" s="23"/>
      <c r="B97" s="23"/>
      <c r="C97" s="23"/>
      <c r="D97" s="23"/>
      <c r="E97" s="23"/>
      <c r="F97" s="23"/>
      <c r="G97" s="23"/>
      <c r="I97" s="23"/>
      <c r="K97" s="23"/>
      <c r="L97" s="23"/>
      <c r="M97" s="23"/>
      <c r="N97" s="23"/>
      <c r="O97" s="23"/>
      <c r="P97" s="23"/>
    </row>
    <row r="98" ht="15.75" customHeight="1">
      <c r="A98" s="23"/>
      <c r="B98" s="23"/>
      <c r="C98" s="23"/>
      <c r="D98" s="23"/>
      <c r="E98" s="23"/>
      <c r="F98" s="23"/>
      <c r="G98" s="23"/>
      <c r="I98" s="23"/>
      <c r="K98" s="23"/>
      <c r="L98" s="23"/>
      <c r="M98" s="23"/>
      <c r="N98" s="23"/>
      <c r="O98" s="23"/>
      <c r="P98" s="23"/>
    </row>
    <row r="99" ht="15.75" customHeight="1">
      <c r="A99" s="23"/>
      <c r="B99" s="23"/>
      <c r="C99" s="23"/>
      <c r="D99" s="23"/>
      <c r="E99" s="23"/>
      <c r="F99" s="23"/>
      <c r="G99" s="23"/>
      <c r="I99" s="23"/>
      <c r="K99" s="23"/>
      <c r="L99" s="23"/>
      <c r="M99" s="23"/>
      <c r="N99" s="23"/>
      <c r="O99" s="23"/>
      <c r="P99" s="23"/>
    </row>
    <row r="100" ht="15.75" customHeight="1">
      <c r="A100" s="23"/>
      <c r="B100" s="23"/>
      <c r="C100" s="23"/>
      <c r="D100" s="23"/>
      <c r="E100" s="23"/>
      <c r="F100" s="23"/>
      <c r="G100" s="23"/>
      <c r="I100" s="23"/>
      <c r="K100" s="23"/>
      <c r="L100" s="23"/>
      <c r="M100" s="23"/>
      <c r="N100" s="23"/>
      <c r="O100" s="23"/>
      <c r="P100" s="23"/>
    </row>
    <row r="101" ht="15.75" customHeight="1">
      <c r="A101" s="23"/>
      <c r="B101" s="23"/>
      <c r="C101" s="23"/>
      <c r="D101" s="23"/>
      <c r="E101" s="23"/>
      <c r="F101" s="23"/>
      <c r="G101" s="23"/>
      <c r="I101" s="23"/>
      <c r="K101" s="23"/>
      <c r="L101" s="23"/>
      <c r="M101" s="23"/>
      <c r="N101" s="23"/>
      <c r="O101" s="23"/>
      <c r="P101" s="23"/>
    </row>
    <row r="102" ht="15.75" customHeight="1">
      <c r="A102" s="23"/>
      <c r="B102" s="23"/>
      <c r="C102" s="23"/>
      <c r="D102" s="23"/>
      <c r="E102" s="23"/>
      <c r="F102" s="23"/>
      <c r="G102" s="23"/>
      <c r="I102" s="23"/>
      <c r="K102" s="23"/>
      <c r="L102" s="23"/>
      <c r="M102" s="23"/>
      <c r="N102" s="23"/>
      <c r="O102" s="23"/>
      <c r="P102" s="23"/>
    </row>
    <row r="103" ht="15.75" customHeight="1">
      <c r="A103" s="23"/>
      <c r="B103" s="23"/>
      <c r="C103" s="23"/>
      <c r="D103" s="23"/>
      <c r="E103" s="23"/>
      <c r="F103" s="23"/>
      <c r="G103" s="23"/>
      <c r="I103" s="23"/>
      <c r="K103" s="23"/>
      <c r="L103" s="23"/>
      <c r="M103" s="23"/>
      <c r="N103" s="23"/>
      <c r="O103" s="23"/>
      <c r="P103" s="23"/>
    </row>
    <row r="104" ht="15.75" customHeight="1">
      <c r="A104" s="23"/>
      <c r="B104" s="23"/>
      <c r="C104" s="23"/>
      <c r="D104" s="23"/>
      <c r="E104" s="23"/>
      <c r="F104" s="23"/>
      <c r="G104" s="23"/>
      <c r="I104" s="23"/>
      <c r="K104" s="23"/>
      <c r="L104" s="23"/>
      <c r="M104" s="23"/>
      <c r="N104" s="23"/>
      <c r="O104" s="23"/>
      <c r="P104" s="23"/>
    </row>
    <row r="105" ht="15.75" customHeight="1">
      <c r="A105" s="23"/>
      <c r="B105" s="23"/>
      <c r="C105" s="23"/>
      <c r="D105" s="23"/>
      <c r="E105" s="23"/>
      <c r="F105" s="23"/>
      <c r="G105" s="23"/>
      <c r="I105" s="23"/>
      <c r="K105" s="23"/>
      <c r="L105" s="23"/>
      <c r="M105" s="23"/>
      <c r="N105" s="23"/>
      <c r="O105" s="23"/>
      <c r="P105" s="23"/>
    </row>
    <row r="106" ht="15.75" customHeight="1">
      <c r="A106" s="23"/>
      <c r="B106" s="23"/>
      <c r="C106" s="23"/>
      <c r="D106" s="23"/>
      <c r="E106" s="23"/>
      <c r="F106" s="23"/>
      <c r="G106" s="23"/>
      <c r="I106" s="23"/>
      <c r="K106" s="23"/>
      <c r="L106" s="23"/>
      <c r="M106" s="23"/>
      <c r="N106" s="23"/>
      <c r="O106" s="23"/>
      <c r="P106" s="23"/>
    </row>
    <row r="107" ht="15.75" customHeight="1">
      <c r="A107" s="23"/>
      <c r="B107" s="23"/>
      <c r="C107" s="23"/>
      <c r="D107" s="23"/>
      <c r="E107" s="23"/>
      <c r="F107" s="23"/>
      <c r="G107" s="23"/>
      <c r="I107" s="23"/>
      <c r="K107" s="23"/>
      <c r="L107" s="23"/>
      <c r="M107" s="23"/>
      <c r="N107" s="23"/>
      <c r="O107" s="23"/>
      <c r="P107" s="23"/>
    </row>
    <row r="108" ht="15.75" customHeight="1">
      <c r="A108" s="23"/>
      <c r="B108" s="23"/>
      <c r="C108" s="23"/>
      <c r="D108" s="23"/>
      <c r="E108" s="23"/>
      <c r="F108" s="23"/>
      <c r="G108" s="23"/>
      <c r="I108" s="23"/>
      <c r="K108" s="23"/>
      <c r="L108" s="23"/>
      <c r="M108" s="23"/>
      <c r="N108" s="23"/>
      <c r="O108" s="23"/>
      <c r="P108" s="23"/>
    </row>
    <row r="109" ht="15.75" customHeight="1">
      <c r="A109" s="23"/>
      <c r="B109" s="23"/>
      <c r="C109" s="23"/>
      <c r="D109" s="23"/>
      <c r="E109" s="23"/>
      <c r="F109" s="23"/>
      <c r="G109" s="23"/>
      <c r="I109" s="23"/>
      <c r="K109" s="23"/>
      <c r="L109" s="23"/>
      <c r="M109" s="23"/>
      <c r="N109" s="23"/>
      <c r="O109" s="23"/>
      <c r="P109" s="23"/>
    </row>
    <row r="110" ht="15.75" customHeight="1">
      <c r="A110" s="23"/>
      <c r="B110" s="23"/>
      <c r="C110" s="23"/>
      <c r="D110" s="23"/>
      <c r="E110" s="23"/>
      <c r="F110" s="23"/>
      <c r="G110" s="23"/>
      <c r="I110" s="23"/>
      <c r="K110" s="23"/>
      <c r="L110" s="23"/>
      <c r="M110" s="23"/>
      <c r="N110" s="23"/>
      <c r="O110" s="23"/>
      <c r="P110" s="23"/>
    </row>
    <row r="111" ht="15.75" customHeight="1">
      <c r="A111" s="23"/>
      <c r="B111" s="23"/>
      <c r="C111" s="23"/>
      <c r="D111" s="23"/>
      <c r="E111" s="23"/>
      <c r="F111" s="23"/>
      <c r="G111" s="23"/>
      <c r="I111" s="23"/>
      <c r="K111" s="23"/>
      <c r="L111" s="23"/>
      <c r="M111" s="23"/>
      <c r="N111" s="23"/>
      <c r="O111" s="23"/>
      <c r="P111" s="23"/>
    </row>
    <row r="112" ht="15.75" customHeight="1">
      <c r="A112" s="23"/>
      <c r="B112" s="23"/>
      <c r="C112" s="23"/>
      <c r="D112" s="23"/>
      <c r="E112" s="23"/>
      <c r="F112" s="23"/>
      <c r="G112" s="23"/>
      <c r="I112" s="23"/>
      <c r="K112" s="23"/>
      <c r="L112" s="23"/>
      <c r="M112" s="23"/>
      <c r="N112" s="23"/>
      <c r="O112" s="23"/>
      <c r="P112" s="23"/>
    </row>
    <row r="113" ht="15.75" customHeight="1">
      <c r="A113" s="23"/>
      <c r="B113" s="23"/>
      <c r="C113" s="23"/>
      <c r="D113" s="23"/>
      <c r="E113" s="23"/>
      <c r="F113" s="23"/>
      <c r="G113" s="23"/>
      <c r="I113" s="23"/>
      <c r="K113" s="23"/>
      <c r="L113" s="23"/>
      <c r="M113" s="23"/>
      <c r="N113" s="23"/>
      <c r="O113" s="23"/>
      <c r="P113" s="23"/>
    </row>
    <row r="114" ht="15.75" customHeight="1">
      <c r="A114" s="23"/>
      <c r="B114" s="23"/>
      <c r="C114" s="23"/>
      <c r="D114" s="23"/>
      <c r="E114" s="23"/>
      <c r="F114" s="23"/>
      <c r="G114" s="23"/>
      <c r="I114" s="23"/>
      <c r="K114" s="23"/>
      <c r="L114" s="23"/>
      <c r="M114" s="23"/>
      <c r="N114" s="23"/>
      <c r="O114" s="23"/>
      <c r="P114" s="23"/>
    </row>
    <row r="115" ht="15.75" customHeight="1">
      <c r="A115" s="23"/>
      <c r="B115" s="23"/>
      <c r="C115" s="23"/>
      <c r="D115" s="23"/>
      <c r="E115" s="23"/>
      <c r="F115" s="23"/>
      <c r="G115" s="23"/>
      <c r="I115" s="23"/>
      <c r="K115" s="23"/>
      <c r="L115" s="23"/>
      <c r="M115" s="23"/>
      <c r="N115" s="23"/>
      <c r="O115" s="23"/>
      <c r="P115" s="23"/>
    </row>
    <row r="116" ht="15.75" customHeight="1">
      <c r="A116" s="23"/>
      <c r="B116" s="23"/>
      <c r="C116" s="23"/>
      <c r="D116" s="23"/>
      <c r="E116" s="23"/>
      <c r="F116" s="23"/>
      <c r="G116" s="23"/>
      <c r="I116" s="23"/>
      <c r="K116" s="23"/>
      <c r="L116" s="23"/>
      <c r="M116" s="23"/>
      <c r="N116" s="23"/>
      <c r="O116" s="23"/>
      <c r="P116" s="23"/>
    </row>
    <row r="117" ht="15.75" customHeight="1">
      <c r="A117" s="23"/>
      <c r="B117" s="23"/>
      <c r="C117" s="23"/>
      <c r="D117" s="23"/>
      <c r="E117" s="23"/>
      <c r="F117" s="23"/>
      <c r="G117" s="23"/>
      <c r="I117" s="23"/>
      <c r="K117" s="23"/>
      <c r="L117" s="23"/>
      <c r="M117" s="23"/>
      <c r="N117" s="23"/>
      <c r="O117" s="23"/>
      <c r="P117" s="23"/>
    </row>
    <row r="118" ht="15.75" customHeight="1">
      <c r="A118" s="23"/>
      <c r="B118" s="23"/>
      <c r="C118" s="23"/>
      <c r="D118" s="23"/>
      <c r="E118" s="23"/>
      <c r="F118" s="23"/>
      <c r="G118" s="23"/>
      <c r="I118" s="23"/>
      <c r="K118" s="23"/>
      <c r="L118" s="23"/>
      <c r="M118" s="23"/>
      <c r="N118" s="23"/>
      <c r="O118" s="23"/>
      <c r="P118" s="23"/>
    </row>
    <row r="119" ht="15.75" customHeight="1">
      <c r="A119" s="23"/>
      <c r="B119" s="23"/>
      <c r="C119" s="23"/>
      <c r="D119" s="23"/>
      <c r="E119" s="23"/>
      <c r="F119" s="23"/>
      <c r="G119" s="23"/>
      <c r="I119" s="23"/>
      <c r="K119" s="23"/>
      <c r="L119" s="23"/>
      <c r="M119" s="23"/>
      <c r="N119" s="23"/>
      <c r="O119" s="23"/>
      <c r="P119" s="23"/>
    </row>
    <row r="120" ht="15.75" customHeight="1">
      <c r="A120" s="23"/>
      <c r="B120" s="23"/>
      <c r="C120" s="23"/>
      <c r="D120" s="23"/>
      <c r="E120" s="23"/>
      <c r="F120" s="23"/>
      <c r="G120" s="23"/>
      <c r="I120" s="23"/>
      <c r="K120" s="23"/>
      <c r="L120" s="23"/>
      <c r="M120" s="23"/>
      <c r="N120" s="23"/>
      <c r="O120" s="23"/>
      <c r="P120" s="23"/>
    </row>
    <row r="121" ht="15.75" customHeight="1">
      <c r="A121" s="23"/>
      <c r="B121" s="23"/>
      <c r="C121" s="23"/>
      <c r="D121" s="23"/>
      <c r="E121" s="23"/>
      <c r="F121" s="23"/>
      <c r="G121" s="23"/>
      <c r="I121" s="23"/>
      <c r="K121" s="23"/>
      <c r="L121" s="23"/>
      <c r="M121" s="23"/>
      <c r="N121" s="23"/>
      <c r="O121" s="23"/>
      <c r="P121" s="23"/>
    </row>
    <row r="122" ht="15.75" customHeight="1">
      <c r="A122" s="23"/>
      <c r="B122" s="23"/>
      <c r="C122" s="23"/>
      <c r="D122" s="23"/>
      <c r="E122" s="23"/>
      <c r="F122" s="23"/>
      <c r="G122" s="23"/>
      <c r="I122" s="23"/>
      <c r="K122" s="23"/>
      <c r="L122" s="23"/>
      <c r="M122" s="23"/>
      <c r="N122" s="23"/>
      <c r="O122" s="23"/>
      <c r="P122" s="23"/>
    </row>
    <row r="123" ht="15.75" customHeight="1">
      <c r="A123" s="23"/>
      <c r="B123" s="23"/>
      <c r="C123" s="23"/>
      <c r="D123" s="23"/>
      <c r="E123" s="23"/>
      <c r="F123" s="23"/>
      <c r="G123" s="23"/>
      <c r="I123" s="23"/>
      <c r="K123" s="23"/>
      <c r="L123" s="23"/>
      <c r="M123" s="23"/>
      <c r="N123" s="23"/>
      <c r="O123" s="23"/>
      <c r="P123" s="23"/>
    </row>
    <row r="124" ht="15.75" customHeight="1">
      <c r="A124" s="23"/>
      <c r="B124" s="23"/>
      <c r="C124" s="23"/>
      <c r="D124" s="23"/>
      <c r="E124" s="23"/>
      <c r="F124" s="23"/>
      <c r="G124" s="23"/>
      <c r="I124" s="23"/>
      <c r="K124" s="23"/>
      <c r="L124" s="23"/>
      <c r="M124" s="23"/>
      <c r="N124" s="23"/>
      <c r="O124" s="23"/>
      <c r="P124" s="23"/>
    </row>
    <row r="125" ht="15.75" customHeight="1">
      <c r="A125" s="23"/>
      <c r="B125" s="23"/>
      <c r="C125" s="23"/>
      <c r="D125" s="23"/>
      <c r="E125" s="23"/>
      <c r="F125" s="23"/>
      <c r="G125" s="23"/>
      <c r="I125" s="23"/>
      <c r="K125" s="23"/>
      <c r="L125" s="23"/>
      <c r="M125" s="23"/>
      <c r="N125" s="23"/>
      <c r="O125" s="23"/>
      <c r="P125" s="23"/>
    </row>
    <row r="126" ht="15.75" customHeight="1">
      <c r="A126" s="23"/>
      <c r="B126" s="23"/>
      <c r="C126" s="23"/>
      <c r="D126" s="23"/>
      <c r="E126" s="23"/>
      <c r="F126" s="23"/>
      <c r="G126" s="23"/>
      <c r="I126" s="23"/>
      <c r="K126" s="23"/>
      <c r="L126" s="23"/>
      <c r="M126" s="23"/>
      <c r="N126" s="23"/>
      <c r="O126" s="23"/>
      <c r="P126" s="23"/>
    </row>
    <row r="127" ht="15.75" customHeight="1">
      <c r="A127" s="23"/>
      <c r="B127" s="23"/>
      <c r="C127" s="23"/>
      <c r="D127" s="23"/>
      <c r="E127" s="23"/>
      <c r="F127" s="23"/>
      <c r="G127" s="23"/>
      <c r="I127" s="23"/>
      <c r="K127" s="23"/>
      <c r="L127" s="23"/>
      <c r="M127" s="23"/>
      <c r="N127" s="23"/>
      <c r="O127" s="23"/>
      <c r="P127" s="23"/>
    </row>
    <row r="128" ht="15.75" customHeight="1">
      <c r="A128" s="23"/>
      <c r="B128" s="23"/>
      <c r="C128" s="23"/>
      <c r="D128" s="23"/>
      <c r="E128" s="23"/>
      <c r="F128" s="23"/>
      <c r="G128" s="23"/>
      <c r="I128" s="23"/>
      <c r="K128" s="23"/>
      <c r="L128" s="23"/>
      <c r="M128" s="23"/>
      <c r="N128" s="23"/>
      <c r="O128" s="23"/>
      <c r="P128" s="23"/>
    </row>
    <row r="129" ht="15.75" customHeight="1">
      <c r="A129" s="23"/>
      <c r="B129" s="23"/>
      <c r="C129" s="23"/>
      <c r="D129" s="23"/>
      <c r="E129" s="23"/>
      <c r="F129" s="23"/>
      <c r="G129" s="23"/>
      <c r="I129" s="23"/>
      <c r="K129" s="23"/>
      <c r="L129" s="23"/>
      <c r="M129" s="23"/>
      <c r="N129" s="23"/>
      <c r="O129" s="23"/>
      <c r="P129" s="23"/>
    </row>
    <row r="130" ht="15.75" customHeight="1">
      <c r="A130" s="23"/>
      <c r="B130" s="23"/>
      <c r="C130" s="23"/>
      <c r="D130" s="23"/>
      <c r="E130" s="23"/>
      <c r="F130" s="23"/>
      <c r="G130" s="23"/>
      <c r="I130" s="23"/>
      <c r="K130" s="23"/>
      <c r="L130" s="23"/>
      <c r="M130" s="23"/>
      <c r="N130" s="23"/>
      <c r="O130" s="23"/>
      <c r="P130" s="23"/>
    </row>
    <row r="131" ht="15.75" customHeight="1">
      <c r="A131" s="23"/>
      <c r="B131" s="23"/>
      <c r="C131" s="23"/>
      <c r="D131" s="23"/>
      <c r="E131" s="23"/>
      <c r="F131" s="23"/>
      <c r="G131" s="23"/>
      <c r="I131" s="23"/>
      <c r="K131" s="23"/>
      <c r="L131" s="23"/>
      <c r="M131" s="23"/>
      <c r="N131" s="23"/>
      <c r="O131" s="23"/>
      <c r="P131" s="23"/>
    </row>
    <row r="132" ht="15.75" customHeight="1">
      <c r="A132" s="23"/>
      <c r="B132" s="23"/>
      <c r="C132" s="23"/>
      <c r="D132" s="23"/>
      <c r="E132" s="23"/>
      <c r="F132" s="23"/>
      <c r="G132" s="23"/>
      <c r="I132" s="23"/>
      <c r="K132" s="23"/>
      <c r="L132" s="23"/>
      <c r="M132" s="23"/>
      <c r="N132" s="23"/>
      <c r="O132" s="23"/>
      <c r="P132" s="23"/>
    </row>
    <row r="133" ht="15.75" customHeight="1">
      <c r="A133" s="23"/>
      <c r="B133" s="23"/>
      <c r="C133" s="23"/>
      <c r="D133" s="23"/>
      <c r="E133" s="23"/>
      <c r="F133" s="23"/>
      <c r="G133" s="23"/>
      <c r="I133" s="23"/>
      <c r="K133" s="23"/>
      <c r="L133" s="23"/>
      <c r="M133" s="23"/>
      <c r="N133" s="23"/>
      <c r="O133" s="23"/>
      <c r="P133" s="23"/>
    </row>
    <row r="134" ht="15.75" customHeight="1">
      <c r="A134" s="23"/>
      <c r="B134" s="23"/>
      <c r="C134" s="23"/>
      <c r="D134" s="23"/>
      <c r="E134" s="23"/>
      <c r="F134" s="23"/>
      <c r="G134" s="23"/>
      <c r="I134" s="23"/>
      <c r="K134" s="23"/>
      <c r="L134" s="23"/>
      <c r="M134" s="23"/>
      <c r="N134" s="23"/>
      <c r="O134" s="23"/>
      <c r="P134" s="23"/>
    </row>
    <row r="135" ht="15.75" customHeight="1">
      <c r="A135" s="23"/>
      <c r="B135" s="23"/>
      <c r="C135" s="23"/>
      <c r="D135" s="23"/>
      <c r="E135" s="23"/>
      <c r="F135" s="23"/>
      <c r="G135" s="23"/>
      <c r="I135" s="23"/>
      <c r="K135" s="23"/>
      <c r="L135" s="23"/>
      <c r="M135" s="23"/>
      <c r="N135" s="23"/>
      <c r="O135" s="23"/>
      <c r="P135" s="23"/>
    </row>
    <row r="136" ht="15.75" customHeight="1">
      <c r="A136" s="23"/>
      <c r="B136" s="23"/>
      <c r="C136" s="23"/>
      <c r="D136" s="23"/>
      <c r="E136" s="23"/>
      <c r="F136" s="23"/>
      <c r="G136" s="23"/>
      <c r="I136" s="23"/>
      <c r="K136" s="23"/>
      <c r="L136" s="23"/>
      <c r="M136" s="23"/>
      <c r="N136" s="23"/>
      <c r="O136" s="23"/>
      <c r="P136" s="23"/>
    </row>
    <row r="137" ht="15.75" customHeight="1">
      <c r="A137" s="23"/>
      <c r="B137" s="23"/>
      <c r="C137" s="23"/>
      <c r="D137" s="23"/>
      <c r="E137" s="23"/>
      <c r="F137" s="23"/>
      <c r="G137" s="23"/>
      <c r="I137" s="23"/>
      <c r="K137" s="23"/>
      <c r="L137" s="23"/>
      <c r="M137" s="23"/>
      <c r="N137" s="23"/>
      <c r="O137" s="23"/>
      <c r="P137" s="23"/>
    </row>
    <row r="138" ht="15.75" customHeight="1">
      <c r="A138" s="23"/>
      <c r="B138" s="23"/>
      <c r="C138" s="23"/>
      <c r="D138" s="23"/>
      <c r="E138" s="23"/>
      <c r="F138" s="23"/>
      <c r="G138" s="23"/>
      <c r="I138" s="23"/>
      <c r="K138" s="23"/>
      <c r="L138" s="23"/>
      <c r="M138" s="23"/>
      <c r="N138" s="23"/>
      <c r="O138" s="23"/>
      <c r="P138" s="23"/>
    </row>
    <row r="139" ht="15.75" customHeight="1">
      <c r="A139" s="23"/>
      <c r="B139" s="23"/>
      <c r="C139" s="23"/>
      <c r="D139" s="23"/>
      <c r="E139" s="23"/>
      <c r="F139" s="23"/>
      <c r="G139" s="23"/>
      <c r="I139" s="23"/>
      <c r="K139" s="23"/>
      <c r="L139" s="23"/>
      <c r="M139" s="23"/>
      <c r="N139" s="23"/>
      <c r="O139" s="23"/>
      <c r="P139" s="23"/>
    </row>
    <row r="140" ht="15.75" customHeight="1">
      <c r="A140" s="23"/>
      <c r="B140" s="23"/>
      <c r="C140" s="23"/>
      <c r="D140" s="23"/>
      <c r="E140" s="23"/>
      <c r="F140" s="23"/>
      <c r="G140" s="23"/>
      <c r="I140" s="23"/>
      <c r="K140" s="23"/>
      <c r="L140" s="23"/>
      <c r="M140" s="23"/>
      <c r="N140" s="23"/>
      <c r="O140" s="23"/>
      <c r="P140" s="23"/>
    </row>
    <row r="141" ht="15.75" customHeight="1">
      <c r="A141" s="23"/>
      <c r="B141" s="23"/>
      <c r="C141" s="23"/>
      <c r="D141" s="23"/>
      <c r="E141" s="23"/>
      <c r="F141" s="23"/>
      <c r="G141" s="23"/>
      <c r="I141" s="23"/>
      <c r="K141" s="23"/>
      <c r="L141" s="23"/>
      <c r="M141" s="23"/>
      <c r="N141" s="23"/>
      <c r="O141" s="23"/>
      <c r="P141" s="23"/>
    </row>
    <row r="142" ht="15.75" customHeight="1">
      <c r="A142" s="23"/>
      <c r="B142" s="23"/>
      <c r="C142" s="23"/>
      <c r="D142" s="23"/>
      <c r="E142" s="23"/>
      <c r="F142" s="23"/>
      <c r="G142" s="23"/>
      <c r="I142" s="23"/>
      <c r="K142" s="23"/>
      <c r="L142" s="23"/>
      <c r="M142" s="23"/>
      <c r="N142" s="23"/>
      <c r="O142" s="23"/>
      <c r="P142" s="23"/>
    </row>
    <row r="143" ht="15.75" customHeight="1">
      <c r="A143" s="23"/>
      <c r="B143" s="23"/>
      <c r="C143" s="23"/>
      <c r="D143" s="23"/>
      <c r="E143" s="23"/>
      <c r="F143" s="23"/>
      <c r="G143" s="23"/>
      <c r="I143" s="23"/>
      <c r="K143" s="23"/>
      <c r="L143" s="23"/>
      <c r="M143" s="23"/>
      <c r="N143" s="23"/>
      <c r="O143" s="23"/>
      <c r="P143" s="23"/>
    </row>
    <row r="144" ht="15.75" customHeight="1">
      <c r="A144" s="23"/>
      <c r="B144" s="23"/>
      <c r="C144" s="23"/>
      <c r="D144" s="23"/>
      <c r="E144" s="23"/>
      <c r="F144" s="23"/>
      <c r="G144" s="23"/>
      <c r="I144" s="23"/>
      <c r="K144" s="23"/>
      <c r="L144" s="23"/>
      <c r="M144" s="23"/>
      <c r="N144" s="23"/>
      <c r="O144" s="23"/>
      <c r="P144" s="23"/>
    </row>
    <row r="145" ht="15.75" customHeight="1">
      <c r="A145" s="23"/>
      <c r="B145" s="23"/>
      <c r="C145" s="23"/>
      <c r="D145" s="23"/>
      <c r="E145" s="23"/>
      <c r="F145" s="23"/>
      <c r="G145" s="23"/>
      <c r="I145" s="23"/>
      <c r="K145" s="23"/>
      <c r="L145" s="23"/>
      <c r="M145" s="23"/>
      <c r="N145" s="23"/>
      <c r="O145" s="23"/>
      <c r="P145" s="23"/>
    </row>
    <row r="146" ht="15.75" customHeight="1">
      <c r="A146" s="23"/>
      <c r="B146" s="23"/>
      <c r="C146" s="23"/>
      <c r="D146" s="23"/>
      <c r="E146" s="23"/>
      <c r="F146" s="23"/>
      <c r="G146" s="23"/>
      <c r="I146" s="23"/>
      <c r="K146" s="23"/>
      <c r="L146" s="23"/>
      <c r="M146" s="23"/>
      <c r="N146" s="23"/>
      <c r="O146" s="23"/>
      <c r="P146" s="23"/>
    </row>
    <row r="147" ht="15.75" customHeight="1">
      <c r="A147" s="23"/>
      <c r="B147" s="23"/>
      <c r="C147" s="23"/>
      <c r="D147" s="23"/>
      <c r="E147" s="23"/>
      <c r="F147" s="23"/>
      <c r="G147" s="23"/>
      <c r="I147" s="23"/>
      <c r="K147" s="23"/>
      <c r="L147" s="23"/>
      <c r="M147" s="23"/>
      <c r="N147" s="23"/>
      <c r="O147" s="23"/>
      <c r="P147" s="23"/>
    </row>
    <row r="148" ht="15.75" customHeight="1">
      <c r="A148" s="23"/>
      <c r="B148" s="23"/>
      <c r="C148" s="23"/>
      <c r="D148" s="23"/>
      <c r="E148" s="23"/>
      <c r="F148" s="23"/>
      <c r="G148" s="23"/>
      <c r="I148" s="23"/>
      <c r="K148" s="23"/>
      <c r="L148" s="23"/>
      <c r="M148" s="23"/>
      <c r="N148" s="23"/>
      <c r="O148" s="23"/>
      <c r="P148" s="23"/>
    </row>
    <row r="149" ht="15.75" customHeight="1">
      <c r="A149" s="23"/>
      <c r="B149" s="23"/>
      <c r="C149" s="23"/>
      <c r="D149" s="23"/>
      <c r="E149" s="23"/>
      <c r="F149" s="23"/>
      <c r="G149" s="23"/>
      <c r="I149" s="23"/>
      <c r="K149" s="23"/>
      <c r="L149" s="23"/>
      <c r="M149" s="23"/>
      <c r="N149" s="23"/>
      <c r="O149" s="23"/>
      <c r="P149" s="23"/>
    </row>
    <row r="150" ht="15.75" customHeight="1">
      <c r="A150" s="23"/>
      <c r="B150" s="23"/>
      <c r="C150" s="23"/>
      <c r="D150" s="23"/>
      <c r="E150" s="23"/>
      <c r="F150" s="23"/>
      <c r="G150" s="23"/>
      <c r="I150" s="23"/>
      <c r="K150" s="23"/>
      <c r="L150" s="23"/>
      <c r="M150" s="23"/>
      <c r="N150" s="23"/>
      <c r="O150" s="23"/>
      <c r="P150" s="23"/>
    </row>
    <row r="151" ht="15.75" customHeight="1">
      <c r="A151" s="23"/>
      <c r="B151" s="23"/>
      <c r="C151" s="23"/>
      <c r="D151" s="23"/>
      <c r="E151" s="23"/>
      <c r="F151" s="23"/>
      <c r="G151" s="23"/>
      <c r="I151" s="23"/>
      <c r="K151" s="23"/>
      <c r="L151" s="23"/>
      <c r="M151" s="23"/>
      <c r="N151" s="23"/>
      <c r="O151" s="23"/>
      <c r="P151" s="23"/>
    </row>
    <row r="152" ht="15.75" customHeight="1">
      <c r="A152" s="23"/>
      <c r="B152" s="23"/>
      <c r="C152" s="23"/>
      <c r="D152" s="23"/>
      <c r="E152" s="23"/>
      <c r="F152" s="23"/>
      <c r="G152" s="23"/>
      <c r="I152" s="23"/>
      <c r="K152" s="23"/>
      <c r="L152" s="23"/>
      <c r="M152" s="23"/>
      <c r="N152" s="23"/>
      <c r="O152" s="23"/>
      <c r="P152" s="23"/>
    </row>
    <row r="153" ht="15.75" customHeight="1">
      <c r="A153" s="23"/>
      <c r="B153" s="23"/>
      <c r="C153" s="23"/>
      <c r="D153" s="23"/>
      <c r="E153" s="23"/>
      <c r="F153" s="23"/>
      <c r="G153" s="23"/>
      <c r="I153" s="23"/>
      <c r="K153" s="23"/>
      <c r="L153" s="23"/>
      <c r="M153" s="23"/>
      <c r="N153" s="23"/>
      <c r="O153" s="23"/>
      <c r="P153" s="23"/>
    </row>
    <row r="154" ht="15.75" customHeight="1">
      <c r="A154" s="23"/>
      <c r="B154" s="23"/>
      <c r="C154" s="23"/>
      <c r="D154" s="23"/>
      <c r="E154" s="23"/>
      <c r="F154" s="23"/>
      <c r="G154" s="23"/>
      <c r="I154" s="23"/>
      <c r="K154" s="23"/>
      <c r="L154" s="23"/>
      <c r="M154" s="23"/>
      <c r="N154" s="23"/>
      <c r="O154" s="23"/>
      <c r="P154" s="23"/>
    </row>
    <row r="155" ht="15.75" customHeight="1">
      <c r="A155" s="23"/>
      <c r="B155" s="23"/>
      <c r="C155" s="23"/>
      <c r="D155" s="23"/>
      <c r="E155" s="23"/>
      <c r="F155" s="23"/>
      <c r="G155" s="23"/>
      <c r="I155" s="23"/>
      <c r="K155" s="23"/>
      <c r="L155" s="23"/>
      <c r="M155" s="23"/>
      <c r="N155" s="23"/>
      <c r="O155" s="23"/>
      <c r="P155" s="23"/>
    </row>
    <row r="156" ht="15.75" customHeight="1">
      <c r="A156" s="23"/>
      <c r="B156" s="23"/>
      <c r="C156" s="23"/>
      <c r="D156" s="23"/>
      <c r="E156" s="23"/>
      <c r="F156" s="23"/>
      <c r="G156" s="23"/>
      <c r="I156" s="23"/>
      <c r="K156" s="23"/>
      <c r="L156" s="23"/>
      <c r="M156" s="23"/>
      <c r="N156" s="23"/>
      <c r="O156" s="23"/>
      <c r="P156" s="23"/>
    </row>
    <row r="157" ht="15.75" customHeight="1">
      <c r="A157" s="23"/>
      <c r="B157" s="23"/>
      <c r="C157" s="23"/>
      <c r="D157" s="23"/>
      <c r="E157" s="23"/>
      <c r="F157" s="23"/>
      <c r="G157" s="23"/>
      <c r="I157" s="23"/>
      <c r="K157" s="23"/>
      <c r="L157" s="23"/>
      <c r="M157" s="23"/>
      <c r="N157" s="23"/>
      <c r="O157" s="23"/>
      <c r="P157" s="23"/>
    </row>
    <row r="158" ht="15.75" customHeight="1">
      <c r="A158" s="23"/>
      <c r="B158" s="23"/>
      <c r="C158" s="23"/>
      <c r="D158" s="23"/>
      <c r="E158" s="23"/>
      <c r="F158" s="23"/>
      <c r="G158" s="23"/>
      <c r="I158" s="23"/>
      <c r="K158" s="23"/>
      <c r="L158" s="23"/>
      <c r="M158" s="23"/>
      <c r="N158" s="23"/>
      <c r="O158" s="23"/>
      <c r="P158" s="23"/>
    </row>
    <row r="159" ht="15.75" customHeight="1">
      <c r="A159" s="23"/>
      <c r="B159" s="23"/>
      <c r="C159" s="23"/>
      <c r="D159" s="23"/>
      <c r="E159" s="23"/>
      <c r="F159" s="23"/>
      <c r="G159" s="23"/>
      <c r="I159" s="23"/>
      <c r="K159" s="23"/>
      <c r="L159" s="23"/>
      <c r="M159" s="23"/>
      <c r="N159" s="23"/>
      <c r="O159" s="23"/>
      <c r="P159" s="23"/>
    </row>
    <row r="160" ht="15.75" customHeight="1">
      <c r="A160" s="23"/>
      <c r="B160" s="23"/>
      <c r="C160" s="23"/>
      <c r="D160" s="23"/>
      <c r="E160" s="23"/>
      <c r="F160" s="23"/>
      <c r="G160" s="23"/>
      <c r="I160" s="23"/>
      <c r="K160" s="23"/>
      <c r="L160" s="23"/>
      <c r="M160" s="23"/>
      <c r="N160" s="23"/>
      <c r="O160" s="23"/>
      <c r="P160" s="23"/>
    </row>
    <row r="161" ht="15.75" customHeight="1">
      <c r="A161" s="23"/>
      <c r="B161" s="23"/>
      <c r="C161" s="23"/>
      <c r="D161" s="23"/>
      <c r="E161" s="23"/>
      <c r="F161" s="23"/>
      <c r="G161" s="23"/>
      <c r="I161" s="23"/>
      <c r="K161" s="23"/>
      <c r="L161" s="23"/>
      <c r="M161" s="23"/>
      <c r="N161" s="23"/>
      <c r="O161" s="23"/>
      <c r="P161" s="23"/>
    </row>
    <row r="162" ht="15.75" customHeight="1">
      <c r="A162" s="23"/>
      <c r="B162" s="23"/>
      <c r="C162" s="23"/>
      <c r="D162" s="23"/>
      <c r="E162" s="23"/>
      <c r="F162" s="23"/>
      <c r="G162" s="23"/>
      <c r="I162" s="23"/>
      <c r="K162" s="23"/>
      <c r="L162" s="23"/>
      <c r="M162" s="23"/>
      <c r="N162" s="23"/>
      <c r="O162" s="23"/>
      <c r="P162" s="23"/>
    </row>
    <row r="163" ht="15.75" customHeight="1">
      <c r="A163" s="23"/>
      <c r="B163" s="23"/>
      <c r="C163" s="23"/>
      <c r="D163" s="23"/>
      <c r="E163" s="23"/>
      <c r="F163" s="23"/>
      <c r="G163" s="23"/>
      <c r="I163" s="23"/>
      <c r="K163" s="23"/>
      <c r="L163" s="23"/>
      <c r="M163" s="23"/>
      <c r="N163" s="23"/>
      <c r="O163" s="23"/>
      <c r="P163" s="23"/>
    </row>
    <row r="164" ht="15.75" customHeight="1">
      <c r="A164" s="23"/>
      <c r="B164" s="23"/>
      <c r="C164" s="23"/>
      <c r="D164" s="23"/>
      <c r="E164" s="23"/>
      <c r="F164" s="23"/>
      <c r="G164" s="23"/>
      <c r="I164" s="23"/>
      <c r="K164" s="23"/>
      <c r="L164" s="23"/>
      <c r="M164" s="23"/>
      <c r="N164" s="23"/>
      <c r="O164" s="23"/>
      <c r="P164" s="23"/>
    </row>
    <row r="165" ht="15.75" customHeight="1">
      <c r="A165" s="23"/>
      <c r="B165" s="23"/>
      <c r="C165" s="23"/>
      <c r="D165" s="23"/>
      <c r="E165" s="23"/>
      <c r="F165" s="23"/>
      <c r="G165" s="23"/>
      <c r="I165" s="23"/>
      <c r="K165" s="23"/>
      <c r="L165" s="23"/>
      <c r="M165" s="23"/>
      <c r="N165" s="23"/>
      <c r="O165" s="23"/>
      <c r="P165" s="23"/>
    </row>
    <row r="166" ht="15.75" customHeight="1">
      <c r="A166" s="23"/>
      <c r="B166" s="23"/>
      <c r="C166" s="23"/>
      <c r="D166" s="23"/>
      <c r="E166" s="23"/>
      <c r="F166" s="23"/>
      <c r="G166" s="23"/>
      <c r="I166" s="23"/>
      <c r="K166" s="23"/>
      <c r="L166" s="23"/>
      <c r="M166" s="23"/>
      <c r="N166" s="23"/>
      <c r="O166" s="23"/>
      <c r="P166" s="23"/>
    </row>
    <row r="167" ht="15.75" customHeight="1">
      <c r="A167" s="23"/>
      <c r="B167" s="23"/>
      <c r="C167" s="23"/>
      <c r="D167" s="23"/>
      <c r="E167" s="23"/>
      <c r="F167" s="23"/>
      <c r="G167" s="23"/>
      <c r="I167" s="23"/>
      <c r="K167" s="23"/>
      <c r="L167" s="23"/>
      <c r="M167" s="23"/>
      <c r="N167" s="23"/>
      <c r="O167" s="23"/>
      <c r="P167" s="23"/>
    </row>
    <row r="168" ht="15.75" customHeight="1">
      <c r="A168" s="23"/>
      <c r="B168" s="23"/>
      <c r="C168" s="23"/>
      <c r="D168" s="23"/>
      <c r="E168" s="23"/>
      <c r="F168" s="23"/>
      <c r="G168" s="23"/>
      <c r="I168" s="23"/>
      <c r="K168" s="23"/>
      <c r="L168" s="23"/>
      <c r="M168" s="23"/>
      <c r="N168" s="23"/>
      <c r="O168" s="23"/>
      <c r="P168" s="23"/>
    </row>
    <row r="169" ht="15.75" customHeight="1">
      <c r="A169" s="23"/>
      <c r="B169" s="23"/>
      <c r="C169" s="23"/>
      <c r="D169" s="23"/>
      <c r="E169" s="23"/>
      <c r="F169" s="23"/>
      <c r="G169" s="23"/>
      <c r="I169" s="23"/>
      <c r="K169" s="23"/>
      <c r="L169" s="23"/>
      <c r="M169" s="23"/>
      <c r="N169" s="23"/>
      <c r="O169" s="23"/>
      <c r="P169" s="23"/>
    </row>
    <row r="170" ht="15.75" customHeight="1">
      <c r="A170" s="23"/>
      <c r="B170" s="23"/>
      <c r="C170" s="23"/>
      <c r="D170" s="23"/>
      <c r="E170" s="23"/>
      <c r="F170" s="23"/>
      <c r="G170" s="23"/>
      <c r="I170" s="23"/>
      <c r="K170" s="23"/>
      <c r="L170" s="23"/>
      <c r="M170" s="23"/>
      <c r="N170" s="23"/>
      <c r="O170" s="23"/>
      <c r="P170" s="23"/>
    </row>
    <row r="171" ht="15.75" customHeight="1">
      <c r="A171" s="23"/>
      <c r="B171" s="23"/>
      <c r="C171" s="23"/>
      <c r="D171" s="23"/>
      <c r="E171" s="23"/>
      <c r="F171" s="23"/>
      <c r="G171" s="23"/>
      <c r="I171" s="23"/>
      <c r="K171" s="23"/>
      <c r="L171" s="23"/>
      <c r="M171" s="23"/>
      <c r="N171" s="23"/>
      <c r="O171" s="23"/>
      <c r="P171" s="23"/>
    </row>
    <row r="172" ht="15.75" customHeight="1">
      <c r="A172" s="23"/>
      <c r="B172" s="23"/>
      <c r="C172" s="23"/>
      <c r="D172" s="23"/>
      <c r="E172" s="23"/>
      <c r="F172" s="23"/>
      <c r="G172" s="23"/>
      <c r="I172" s="23"/>
      <c r="K172" s="23"/>
      <c r="L172" s="23"/>
      <c r="M172" s="23"/>
      <c r="N172" s="23"/>
      <c r="O172" s="23"/>
      <c r="P172" s="23"/>
    </row>
    <row r="173" ht="15.75" customHeight="1">
      <c r="A173" s="23"/>
      <c r="B173" s="23"/>
      <c r="C173" s="23"/>
      <c r="D173" s="23"/>
      <c r="E173" s="23"/>
      <c r="F173" s="23"/>
      <c r="G173" s="23"/>
      <c r="I173" s="23"/>
      <c r="K173" s="23"/>
      <c r="L173" s="23"/>
      <c r="M173" s="23"/>
      <c r="N173" s="23"/>
      <c r="O173" s="23"/>
      <c r="P173" s="23"/>
    </row>
    <row r="174" ht="15.75" customHeight="1">
      <c r="A174" s="23"/>
      <c r="B174" s="23"/>
      <c r="C174" s="23"/>
      <c r="D174" s="23"/>
      <c r="E174" s="23"/>
      <c r="F174" s="23"/>
      <c r="G174" s="23"/>
      <c r="I174" s="23"/>
      <c r="K174" s="23"/>
      <c r="L174" s="23"/>
      <c r="M174" s="23"/>
      <c r="N174" s="23"/>
      <c r="O174" s="23"/>
      <c r="P174" s="23"/>
    </row>
    <row r="175" ht="15.75" customHeight="1">
      <c r="A175" s="23"/>
      <c r="B175" s="23"/>
      <c r="C175" s="23"/>
      <c r="D175" s="23"/>
      <c r="E175" s="23"/>
      <c r="F175" s="23"/>
      <c r="G175" s="23"/>
      <c r="I175" s="23"/>
      <c r="K175" s="23"/>
      <c r="L175" s="23"/>
      <c r="M175" s="23"/>
      <c r="N175" s="23"/>
      <c r="O175" s="23"/>
      <c r="P175" s="23"/>
    </row>
    <row r="176" ht="15.75" customHeight="1">
      <c r="A176" s="23"/>
      <c r="B176" s="23"/>
      <c r="C176" s="23"/>
      <c r="D176" s="23"/>
      <c r="E176" s="23"/>
      <c r="F176" s="23"/>
      <c r="G176" s="23"/>
      <c r="I176" s="23"/>
      <c r="K176" s="23"/>
      <c r="L176" s="23"/>
      <c r="M176" s="23"/>
      <c r="N176" s="23"/>
      <c r="O176" s="23"/>
      <c r="P176" s="23"/>
    </row>
    <row r="177" ht="15.75" customHeight="1">
      <c r="A177" s="23"/>
      <c r="B177" s="23"/>
      <c r="C177" s="23"/>
      <c r="D177" s="23"/>
      <c r="E177" s="23"/>
      <c r="F177" s="23"/>
      <c r="G177" s="23"/>
      <c r="I177" s="23"/>
      <c r="K177" s="23"/>
      <c r="L177" s="23"/>
      <c r="M177" s="23"/>
      <c r="N177" s="23"/>
      <c r="O177" s="23"/>
      <c r="P177" s="23"/>
    </row>
    <row r="178" ht="15.75" customHeight="1">
      <c r="A178" s="23"/>
      <c r="B178" s="23"/>
      <c r="C178" s="23"/>
      <c r="D178" s="23"/>
      <c r="E178" s="23"/>
      <c r="F178" s="23"/>
      <c r="G178" s="23"/>
      <c r="I178" s="23"/>
      <c r="K178" s="23"/>
      <c r="L178" s="23"/>
      <c r="M178" s="23"/>
      <c r="N178" s="23"/>
      <c r="O178" s="23"/>
      <c r="P178" s="23"/>
    </row>
    <row r="179" ht="15.75" customHeight="1">
      <c r="A179" s="23"/>
      <c r="B179" s="23"/>
      <c r="C179" s="23"/>
      <c r="D179" s="23"/>
      <c r="E179" s="23"/>
      <c r="F179" s="23"/>
      <c r="G179" s="23"/>
      <c r="I179" s="23"/>
      <c r="K179" s="23"/>
      <c r="L179" s="23"/>
      <c r="M179" s="23"/>
      <c r="N179" s="23"/>
      <c r="O179" s="23"/>
      <c r="P179" s="23"/>
    </row>
    <row r="180" ht="15.75" customHeight="1">
      <c r="A180" s="23"/>
      <c r="B180" s="23"/>
      <c r="C180" s="23"/>
      <c r="D180" s="23"/>
      <c r="E180" s="23"/>
      <c r="F180" s="23"/>
      <c r="G180" s="23"/>
      <c r="I180" s="23"/>
      <c r="K180" s="23"/>
      <c r="L180" s="23"/>
      <c r="M180" s="23"/>
      <c r="N180" s="23"/>
      <c r="O180" s="23"/>
      <c r="P180" s="23"/>
    </row>
    <row r="181" ht="15.75" customHeight="1">
      <c r="A181" s="23"/>
      <c r="B181" s="23"/>
      <c r="C181" s="23"/>
      <c r="D181" s="23"/>
      <c r="E181" s="23"/>
      <c r="F181" s="23"/>
      <c r="G181" s="23"/>
      <c r="I181" s="23"/>
      <c r="K181" s="23"/>
      <c r="L181" s="23"/>
      <c r="M181" s="23"/>
      <c r="N181" s="23"/>
      <c r="O181" s="23"/>
      <c r="P181" s="23"/>
    </row>
    <row r="182" ht="15.75" customHeight="1">
      <c r="A182" s="23"/>
      <c r="B182" s="23"/>
      <c r="C182" s="23"/>
      <c r="D182" s="23"/>
      <c r="E182" s="23"/>
      <c r="F182" s="23"/>
      <c r="G182" s="23"/>
      <c r="I182" s="23"/>
      <c r="K182" s="23"/>
      <c r="L182" s="23"/>
      <c r="M182" s="23"/>
      <c r="N182" s="23"/>
      <c r="O182" s="23"/>
      <c r="P182" s="23"/>
    </row>
    <row r="183" ht="15.75" customHeight="1">
      <c r="A183" s="23"/>
      <c r="B183" s="23"/>
      <c r="C183" s="23"/>
      <c r="D183" s="23"/>
      <c r="E183" s="23"/>
      <c r="F183" s="23"/>
      <c r="G183" s="23"/>
      <c r="I183" s="23"/>
      <c r="K183" s="23"/>
      <c r="L183" s="23"/>
      <c r="M183" s="23"/>
      <c r="N183" s="23"/>
      <c r="O183" s="23"/>
      <c r="P183" s="23"/>
    </row>
    <row r="184" ht="15.75" customHeight="1">
      <c r="A184" s="23"/>
      <c r="B184" s="23"/>
      <c r="C184" s="23"/>
      <c r="D184" s="23"/>
      <c r="E184" s="23"/>
      <c r="F184" s="23"/>
      <c r="G184" s="23"/>
      <c r="I184" s="23"/>
      <c r="K184" s="23"/>
      <c r="L184" s="23"/>
      <c r="M184" s="23"/>
      <c r="N184" s="23"/>
      <c r="O184" s="23"/>
      <c r="P184" s="23"/>
    </row>
    <row r="185" ht="15.75" customHeight="1">
      <c r="A185" s="23"/>
      <c r="B185" s="23"/>
      <c r="C185" s="23"/>
      <c r="D185" s="23"/>
      <c r="E185" s="23"/>
      <c r="F185" s="23"/>
      <c r="G185" s="23"/>
      <c r="I185" s="23"/>
      <c r="K185" s="23"/>
      <c r="L185" s="23"/>
      <c r="M185" s="23"/>
      <c r="N185" s="23"/>
      <c r="O185" s="23"/>
      <c r="P185" s="23"/>
    </row>
    <row r="186" ht="15.75" customHeight="1">
      <c r="A186" s="23"/>
      <c r="B186" s="23"/>
      <c r="C186" s="23"/>
      <c r="D186" s="23"/>
      <c r="E186" s="23"/>
      <c r="F186" s="23"/>
      <c r="G186" s="23"/>
      <c r="I186" s="23"/>
      <c r="K186" s="23"/>
      <c r="L186" s="23"/>
      <c r="M186" s="23"/>
      <c r="N186" s="23"/>
      <c r="O186" s="23"/>
      <c r="P186" s="23"/>
    </row>
    <row r="187" ht="15.75" customHeight="1">
      <c r="A187" s="23"/>
      <c r="B187" s="23"/>
      <c r="C187" s="23"/>
      <c r="D187" s="23"/>
      <c r="E187" s="23"/>
      <c r="F187" s="23"/>
      <c r="G187" s="23"/>
      <c r="I187" s="23"/>
      <c r="K187" s="23"/>
      <c r="L187" s="23"/>
      <c r="M187" s="23"/>
      <c r="N187" s="23"/>
      <c r="O187" s="23"/>
      <c r="P187" s="23"/>
    </row>
    <row r="188" ht="15.75" customHeight="1">
      <c r="A188" s="23"/>
      <c r="B188" s="23"/>
      <c r="C188" s="23"/>
      <c r="D188" s="23"/>
      <c r="E188" s="23"/>
      <c r="F188" s="23"/>
      <c r="G188" s="23"/>
      <c r="I188" s="23"/>
      <c r="K188" s="23"/>
      <c r="L188" s="23"/>
      <c r="M188" s="23"/>
      <c r="N188" s="23"/>
      <c r="O188" s="23"/>
      <c r="P188" s="23"/>
    </row>
    <row r="189" ht="15.75" customHeight="1">
      <c r="A189" s="23"/>
      <c r="B189" s="23"/>
      <c r="C189" s="23"/>
      <c r="D189" s="23"/>
      <c r="E189" s="23"/>
      <c r="F189" s="23"/>
      <c r="G189" s="23"/>
      <c r="I189" s="23"/>
      <c r="K189" s="23"/>
      <c r="L189" s="23"/>
      <c r="M189" s="23"/>
      <c r="N189" s="23"/>
      <c r="O189" s="23"/>
      <c r="P189" s="23"/>
    </row>
    <row r="190" ht="15.75" customHeight="1">
      <c r="A190" s="23"/>
      <c r="B190" s="23"/>
      <c r="C190" s="23"/>
      <c r="D190" s="23"/>
      <c r="E190" s="23"/>
      <c r="F190" s="23"/>
      <c r="G190" s="23"/>
      <c r="I190" s="23"/>
      <c r="K190" s="23"/>
      <c r="L190" s="23"/>
      <c r="M190" s="23"/>
      <c r="N190" s="23"/>
      <c r="O190" s="23"/>
      <c r="P190" s="23"/>
    </row>
    <row r="191" ht="15.75" customHeight="1">
      <c r="A191" s="23"/>
      <c r="B191" s="23"/>
      <c r="C191" s="23"/>
      <c r="D191" s="23"/>
      <c r="E191" s="23"/>
      <c r="F191" s="23"/>
      <c r="G191" s="23"/>
      <c r="I191" s="23"/>
      <c r="K191" s="23"/>
      <c r="L191" s="23"/>
      <c r="M191" s="23"/>
      <c r="N191" s="23"/>
      <c r="O191" s="23"/>
      <c r="P191" s="23"/>
    </row>
    <row r="192" ht="15.75" customHeight="1">
      <c r="A192" s="23"/>
      <c r="B192" s="23"/>
      <c r="C192" s="23"/>
      <c r="D192" s="23"/>
      <c r="E192" s="23"/>
      <c r="F192" s="23"/>
      <c r="G192" s="23"/>
      <c r="I192" s="23"/>
      <c r="K192" s="23"/>
      <c r="L192" s="23"/>
      <c r="M192" s="23"/>
      <c r="N192" s="23"/>
      <c r="O192" s="23"/>
      <c r="P192" s="23"/>
    </row>
    <row r="193" ht="15.75" customHeight="1">
      <c r="A193" s="23"/>
      <c r="B193" s="23"/>
      <c r="C193" s="23"/>
      <c r="D193" s="23"/>
      <c r="E193" s="23"/>
      <c r="F193" s="23"/>
      <c r="G193" s="23"/>
      <c r="I193" s="23"/>
      <c r="K193" s="23"/>
      <c r="L193" s="23"/>
      <c r="M193" s="23"/>
      <c r="N193" s="23"/>
      <c r="O193" s="23"/>
      <c r="P193" s="23"/>
    </row>
    <row r="194" ht="15.75" customHeight="1">
      <c r="A194" s="23"/>
      <c r="B194" s="23"/>
      <c r="C194" s="23"/>
      <c r="D194" s="23"/>
      <c r="E194" s="23"/>
      <c r="F194" s="23"/>
      <c r="G194" s="23"/>
      <c r="I194" s="23"/>
      <c r="K194" s="23"/>
      <c r="L194" s="23"/>
      <c r="M194" s="23"/>
      <c r="N194" s="23"/>
      <c r="O194" s="23"/>
      <c r="P194" s="23"/>
    </row>
    <row r="195" ht="15.75" customHeight="1">
      <c r="A195" s="23"/>
      <c r="B195" s="23"/>
      <c r="C195" s="23"/>
      <c r="D195" s="23"/>
      <c r="E195" s="23"/>
      <c r="F195" s="23"/>
      <c r="G195" s="23"/>
      <c r="I195" s="23"/>
      <c r="K195" s="23"/>
      <c r="L195" s="23"/>
      <c r="M195" s="23"/>
      <c r="N195" s="23"/>
      <c r="O195" s="23"/>
      <c r="P195" s="23"/>
    </row>
    <row r="196" ht="15.75" customHeight="1">
      <c r="A196" s="23"/>
      <c r="B196" s="23"/>
      <c r="C196" s="23"/>
      <c r="D196" s="23"/>
      <c r="E196" s="23"/>
      <c r="F196" s="23"/>
      <c r="G196" s="23"/>
      <c r="I196" s="23"/>
      <c r="K196" s="23"/>
      <c r="L196" s="23"/>
      <c r="M196" s="23"/>
      <c r="N196" s="23"/>
      <c r="O196" s="23"/>
      <c r="P196" s="23"/>
    </row>
    <row r="197" ht="15.75" customHeight="1">
      <c r="A197" s="23"/>
      <c r="B197" s="23"/>
      <c r="C197" s="23"/>
      <c r="D197" s="23"/>
      <c r="E197" s="23"/>
      <c r="F197" s="23"/>
      <c r="G197" s="23"/>
      <c r="I197" s="23"/>
      <c r="K197" s="23"/>
      <c r="L197" s="23"/>
      <c r="M197" s="23"/>
      <c r="N197" s="23"/>
      <c r="O197" s="23"/>
      <c r="P197" s="23"/>
    </row>
    <row r="198" ht="15.75" customHeight="1">
      <c r="A198" s="23"/>
      <c r="B198" s="23"/>
      <c r="C198" s="23"/>
      <c r="D198" s="23"/>
      <c r="E198" s="23"/>
      <c r="F198" s="23"/>
      <c r="G198" s="23"/>
      <c r="I198" s="23"/>
      <c r="K198" s="23"/>
      <c r="L198" s="23"/>
      <c r="M198" s="23"/>
      <c r="N198" s="23"/>
      <c r="O198" s="23"/>
      <c r="P198" s="23"/>
    </row>
    <row r="199" ht="15.75" customHeight="1">
      <c r="A199" s="23"/>
      <c r="B199" s="23"/>
      <c r="C199" s="23"/>
      <c r="D199" s="23"/>
      <c r="E199" s="23"/>
      <c r="F199" s="23"/>
      <c r="G199" s="23"/>
      <c r="I199" s="23"/>
      <c r="K199" s="23"/>
      <c r="L199" s="23"/>
      <c r="M199" s="23"/>
      <c r="N199" s="23"/>
      <c r="O199" s="23"/>
      <c r="P199" s="23"/>
    </row>
    <row r="200" ht="15.75" customHeight="1">
      <c r="A200" s="23"/>
      <c r="B200" s="23"/>
      <c r="C200" s="23"/>
      <c r="D200" s="23"/>
      <c r="E200" s="23"/>
      <c r="F200" s="23"/>
      <c r="G200" s="23"/>
      <c r="I200" s="23"/>
      <c r="K200" s="23"/>
      <c r="L200" s="23"/>
      <c r="M200" s="23"/>
      <c r="N200" s="23"/>
      <c r="O200" s="23"/>
      <c r="P200" s="23"/>
    </row>
    <row r="201" ht="15.75" customHeight="1">
      <c r="A201" s="23"/>
      <c r="B201" s="23"/>
      <c r="C201" s="23"/>
      <c r="D201" s="23"/>
      <c r="E201" s="23"/>
      <c r="F201" s="23"/>
      <c r="G201" s="23"/>
      <c r="I201" s="23"/>
      <c r="K201" s="23"/>
      <c r="L201" s="23"/>
      <c r="M201" s="23"/>
      <c r="N201" s="23"/>
      <c r="O201" s="23"/>
      <c r="P201" s="23"/>
    </row>
    <row r="202" ht="15.75" customHeight="1">
      <c r="A202" s="23"/>
      <c r="B202" s="23"/>
      <c r="C202" s="23"/>
      <c r="D202" s="23"/>
      <c r="E202" s="23"/>
      <c r="F202" s="23"/>
      <c r="G202" s="23"/>
      <c r="I202" s="23"/>
      <c r="K202" s="23"/>
      <c r="L202" s="23"/>
      <c r="M202" s="23"/>
      <c r="N202" s="23"/>
      <c r="O202" s="23"/>
      <c r="P202" s="23"/>
    </row>
    <row r="203" ht="15.75" customHeight="1">
      <c r="A203" s="23"/>
      <c r="B203" s="23"/>
      <c r="C203" s="23"/>
      <c r="D203" s="23"/>
      <c r="E203" s="23"/>
      <c r="F203" s="23"/>
      <c r="G203" s="23"/>
      <c r="I203" s="23"/>
      <c r="K203" s="23"/>
      <c r="L203" s="23"/>
      <c r="M203" s="23"/>
      <c r="N203" s="23"/>
      <c r="O203" s="23"/>
      <c r="P203" s="23"/>
    </row>
    <row r="204" ht="15.75" customHeight="1">
      <c r="A204" s="23"/>
      <c r="B204" s="23"/>
      <c r="C204" s="23"/>
      <c r="D204" s="23"/>
      <c r="E204" s="23"/>
      <c r="F204" s="23"/>
      <c r="G204" s="23"/>
      <c r="I204" s="23"/>
      <c r="K204" s="23"/>
      <c r="L204" s="23"/>
      <c r="M204" s="23"/>
      <c r="N204" s="23"/>
      <c r="O204" s="23"/>
      <c r="P204" s="23"/>
    </row>
    <row r="205" ht="15.75" customHeight="1">
      <c r="A205" s="23"/>
      <c r="B205" s="23"/>
      <c r="C205" s="23"/>
      <c r="D205" s="23"/>
      <c r="E205" s="23"/>
      <c r="F205" s="23"/>
      <c r="G205" s="23"/>
      <c r="I205" s="23"/>
      <c r="K205" s="23"/>
      <c r="L205" s="23"/>
      <c r="M205" s="23"/>
      <c r="N205" s="23"/>
      <c r="O205" s="23"/>
      <c r="P205" s="23"/>
    </row>
    <row r="206" ht="15.75" customHeight="1">
      <c r="A206" s="23"/>
      <c r="B206" s="23"/>
      <c r="C206" s="23"/>
      <c r="D206" s="23"/>
      <c r="E206" s="23"/>
      <c r="F206" s="23"/>
      <c r="G206" s="23"/>
      <c r="I206" s="23"/>
      <c r="K206" s="23"/>
      <c r="L206" s="23"/>
      <c r="M206" s="23"/>
      <c r="N206" s="23"/>
      <c r="O206" s="23"/>
      <c r="P206" s="23"/>
    </row>
    <row r="207" ht="15.75" customHeight="1">
      <c r="A207" s="23"/>
      <c r="B207" s="23"/>
      <c r="C207" s="23"/>
      <c r="D207" s="23"/>
      <c r="E207" s="23"/>
      <c r="F207" s="23"/>
      <c r="G207" s="23"/>
      <c r="I207" s="23"/>
      <c r="K207" s="23"/>
      <c r="L207" s="23"/>
      <c r="M207" s="23"/>
      <c r="N207" s="23"/>
      <c r="O207" s="23"/>
      <c r="P207" s="23"/>
    </row>
    <row r="208" ht="15.75" customHeight="1">
      <c r="A208" s="23"/>
      <c r="B208" s="23"/>
      <c r="C208" s="23"/>
      <c r="D208" s="23"/>
      <c r="E208" s="23"/>
      <c r="F208" s="23"/>
      <c r="G208" s="23"/>
      <c r="I208" s="23"/>
      <c r="K208" s="23"/>
      <c r="L208" s="23"/>
      <c r="M208" s="23"/>
      <c r="N208" s="23"/>
      <c r="O208" s="23"/>
      <c r="P208" s="23"/>
    </row>
    <row r="209" ht="15.75" customHeight="1">
      <c r="A209" s="23"/>
      <c r="B209" s="23"/>
      <c r="C209" s="23"/>
      <c r="D209" s="23"/>
      <c r="E209" s="23"/>
      <c r="F209" s="23"/>
      <c r="G209" s="23"/>
      <c r="I209" s="23"/>
      <c r="K209" s="23"/>
      <c r="L209" s="23"/>
      <c r="M209" s="23"/>
      <c r="N209" s="23"/>
      <c r="O209" s="23"/>
      <c r="P209" s="23"/>
    </row>
    <row r="210" ht="15.75" customHeight="1">
      <c r="A210" s="23"/>
      <c r="B210" s="23"/>
      <c r="C210" s="23"/>
      <c r="D210" s="23"/>
      <c r="E210" s="23"/>
      <c r="F210" s="23"/>
      <c r="G210" s="23"/>
      <c r="I210" s="23"/>
      <c r="K210" s="23"/>
      <c r="L210" s="23"/>
      <c r="M210" s="23"/>
      <c r="N210" s="23"/>
      <c r="O210" s="23"/>
      <c r="P210" s="23"/>
    </row>
    <row r="211" ht="15.75" customHeight="1">
      <c r="A211" s="23"/>
      <c r="B211" s="23"/>
      <c r="C211" s="23"/>
      <c r="D211" s="23"/>
      <c r="E211" s="23"/>
      <c r="F211" s="23"/>
      <c r="G211" s="23"/>
      <c r="I211" s="23"/>
      <c r="K211" s="23"/>
      <c r="L211" s="23"/>
      <c r="M211" s="23"/>
      <c r="N211" s="23"/>
      <c r="O211" s="23"/>
      <c r="P211" s="23"/>
    </row>
    <row r="212" ht="15.75" customHeight="1">
      <c r="A212" s="23"/>
      <c r="B212" s="23"/>
      <c r="C212" s="23"/>
      <c r="D212" s="23"/>
      <c r="E212" s="23"/>
      <c r="F212" s="23"/>
      <c r="G212" s="23"/>
      <c r="I212" s="23"/>
      <c r="K212" s="23"/>
      <c r="L212" s="23"/>
      <c r="M212" s="23"/>
      <c r="N212" s="23"/>
      <c r="O212" s="23"/>
      <c r="P212" s="23"/>
    </row>
    <row r="213" ht="15.75" customHeight="1">
      <c r="A213" s="23"/>
      <c r="B213" s="23"/>
      <c r="C213" s="23"/>
      <c r="D213" s="23"/>
      <c r="E213" s="23"/>
      <c r="F213" s="23"/>
      <c r="G213" s="23"/>
      <c r="I213" s="23"/>
      <c r="K213" s="23"/>
      <c r="L213" s="23"/>
      <c r="M213" s="23"/>
      <c r="N213" s="23"/>
      <c r="O213" s="23"/>
      <c r="P213" s="23"/>
    </row>
    <row r="214" ht="15.75" customHeight="1">
      <c r="A214" s="23"/>
      <c r="B214" s="23"/>
      <c r="C214" s="23"/>
      <c r="D214" s="23"/>
      <c r="E214" s="23"/>
      <c r="F214" s="23"/>
      <c r="G214" s="23"/>
      <c r="I214" s="23"/>
      <c r="K214" s="23"/>
      <c r="L214" s="23"/>
      <c r="M214" s="23"/>
      <c r="N214" s="23"/>
      <c r="O214" s="23"/>
      <c r="P214" s="23"/>
    </row>
    <row r="215" ht="15.75" customHeight="1">
      <c r="A215" s="23"/>
      <c r="B215" s="23"/>
      <c r="C215" s="23"/>
      <c r="D215" s="23"/>
      <c r="E215" s="23"/>
      <c r="F215" s="23"/>
      <c r="G215" s="23"/>
      <c r="I215" s="23"/>
      <c r="K215" s="23"/>
      <c r="L215" s="23"/>
      <c r="M215" s="23"/>
      <c r="N215" s="23"/>
      <c r="O215" s="23"/>
      <c r="P215" s="23"/>
    </row>
    <row r="216" ht="15.75" customHeight="1">
      <c r="A216" s="23"/>
      <c r="B216" s="23"/>
      <c r="C216" s="23"/>
      <c r="D216" s="23"/>
      <c r="E216" s="23"/>
      <c r="F216" s="23"/>
      <c r="G216" s="23"/>
      <c r="I216" s="23"/>
      <c r="K216" s="23"/>
      <c r="L216" s="23"/>
      <c r="M216" s="23"/>
      <c r="N216" s="23"/>
      <c r="O216" s="23"/>
      <c r="P216" s="23"/>
    </row>
    <row r="217" ht="15.75" customHeight="1">
      <c r="A217" s="23"/>
      <c r="B217" s="23"/>
      <c r="C217" s="23"/>
      <c r="D217" s="23"/>
      <c r="E217" s="23"/>
      <c r="F217" s="23"/>
      <c r="G217" s="23"/>
      <c r="I217" s="23"/>
      <c r="K217" s="23"/>
      <c r="L217" s="23"/>
      <c r="M217" s="23"/>
      <c r="N217" s="23"/>
      <c r="O217" s="23"/>
      <c r="P217" s="23"/>
    </row>
    <row r="218" ht="15.75" customHeight="1">
      <c r="A218" s="23"/>
      <c r="B218" s="23"/>
      <c r="C218" s="23"/>
      <c r="D218" s="23"/>
      <c r="E218" s="23"/>
      <c r="F218" s="23"/>
      <c r="G218" s="23"/>
      <c r="I218" s="23"/>
      <c r="K218" s="23"/>
      <c r="L218" s="23"/>
      <c r="M218" s="23"/>
      <c r="N218" s="23"/>
      <c r="O218" s="23"/>
      <c r="P218" s="23"/>
    </row>
    <row r="219" ht="15.75" customHeight="1">
      <c r="A219" s="23"/>
      <c r="B219" s="23"/>
      <c r="C219" s="23"/>
      <c r="D219" s="23"/>
      <c r="E219" s="23"/>
      <c r="F219" s="23"/>
      <c r="G219" s="23"/>
      <c r="I219" s="23"/>
      <c r="K219" s="23"/>
      <c r="L219" s="23"/>
      <c r="M219" s="23"/>
      <c r="N219" s="23"/>
      <c r="O219" s="23"/>
      <c r="P219" s="23"/>
    </row>
    <row r="220" ht="15.75" customHeight="1">
      <c r="A220" s="23"/>
      <c r="B220" s="23"/>
      <c r="C220" s="23"/>
      <c r="D220" s="23"/>
      <c r="E220" s="23"/>
      <c r="F220" s="23"/>
      <c r="G220" s="23"/>
      <c r="I220" s="23"/>
      <c r="K220" s="23"/>
      <c r="L220" s="23"/>
      <c r="M220" s="23"/>
      <c r="N220" s="23"/>
      <c r="O220" s="23"/>
      <c r="P220" s="23"/>
    </row>
    <row r="221" ht="15.75" customHeight="1">
      <c r="A221" s="23"/>
      <c r="B221" s="23"/>
      <c r="C221" s="23"/>
      <c r="D221" s="23"/>
      <c r="E221" s="23"/>
      <c r="F221" s="23"/>
      <c r="G221" s="23"/>
      <c r="I221" s="23"/>
      <c r="K221" s="23"/>
      <c r="L221" s="23"/>
      <c r="M221" s="23"/>
      <c r="N221" s="23"/>
      <c r="O221" s="23"/>
      <c r="P221" s="23"/>
    </row>
    <row r="222" ht="15.75" customHeight="1">
      <c r="A222" s="23"/>
      <c r="B222" s="23"/>
      <c r="C222" s="23"/>
      <c r="D222" s="23"/>
      <c r="E222" s="23"/>
      <c r="F222" s="23"/>
      <c r="G222" s="23"/>
      <c r="I222" s="23"/>
      <c r="K222" s="23"/>
      <c r="L222" s="23"/>
      <c r="M222" s="23"/>
      <c r="N222" s="23"/>
      <c r="O222" s="23"/>
      <c r="P222" s="23"/>
    </row>
    <row r="223" ht="15.75" customHeight="1">
      <c r="A223" s="23"/>
      <c r="B223" s="23"/>
      <c r="C223" s="23"/>
      <c r="D223" s="23"/>
      <c r="E223" s="23"/>
      <c r="F223" s="23"/>
      <c r="G223" s="23"/>
      <c r="I223" s="23"/>
      <c r="K223" s="23"/>
      <c r="L223" s="23"/>
      <c r="M223" s="23"/>
      <c r="N223" s="23"/>
      <c r="O223" s="23"/>
      <c r="P223" s="23"/>
    </row>
    <row r="224" ht="15.75" customHeight="1">
      <c r="A224" s="23"/>
      <c r="B224" s="23"/>
      <c r="C224" s="23"/>
      <c r="D224" s="23"/>
      <c r="E224" s="23"/>
      <c r="F224" s="23"/>
      <c r="G224" s="23"/>
      <c r="I224" s="23"/>
      <c r="K224" s="23"/>
      <c r="L224" s="23"/>
      <c r="M224" s="23"/>
      <c r="N224" s="23"/>
      <c r="O224" s="23"/>
      <c r="P224" s="23"/>
    </row>
    <row r="225" ht="15.75" customHeight="1">
      <c r="A225" s="23"/>
      <c r="B225" s="23"/>
      <c r="C225" s="23"/>
      <c r="D225" s="23"/>
      <c r="E225" s="23"/>
      <c r="F225" s="23"/>
      <c r="G225" s="23"/>
      <c r="I225" s="23"/>
      <c r="K225" s="23"/>
      <c r="L225" s="23"/>
      <c r="M225" s="23"/>
      <c r="N225" s="23"/>
      <c r="O225" s="23"/>
      <c r="P225" s="23"/>
    </row>
    <row r="226" ht="15.75" customHeight="1">
      <c r="A226" s="23"/>
      <c r="B226" s="23"/>
      <c r="C226" s="23"/>
      <c r="D226" s="23"/>
      <c r="E226" s="23"/>
      <c r="F226" s="23"/>
      <c r="G226" s="23"/>
      <c r="I226" s="23"/>
      <c r="K226" s="23"/>
      <c r="L226" s="23"/>
      <c r="M226" s="23"/>
      <c r="N226" s="23"/>
      <c r="O226" s="23"/>
      <c r="P226" s="23"/>
    </row>
    <row r="227" ht="15.75" customHeight="1">
      <c r="A227" s="23"/>
      <c r="B227" s="23"/>
      <c r="C227" s="23"/>
      <c r="D227" s="23"/>
      <c r="E227" s="23"/>
      <c r="F227" s="23"/>
      <c r="G227" s="23"/>
      <c r="I227" s="23"/>
      <c r="K227" s="23"/>
      <c r="L227" s="23"/>
      <c r="M227" s="23"/>
      <c r="N227" s="23"/>
      <c r="O227" s="23"/>
      <c r="P227" s="23"/>
    </row>
    <row r="228" ht="15.75" customHeight="1">
      <c r="A228" s="23"/>
      <c r="B228" s="23"/>
      <c r="C228" s="23"/>
      <c r="D228" s="23"/>
      <c r="E228" s="23"/>
      <c r="F228" s="23"/>
      <c r="G228" s="23"/>
      <c r="I228" s="23"/>
      <c r="K228" s="23"/>
      <c r="L228" s="23"/>
      <c r="M228" s="23"/>
      <c r="N228" s="23"/>
      <c r="O228" s="23"/>
      <c r="P228" s="23"/>
    </row>
    <row r="229" ht="15.75" customHeight="1">
      <c r="A229" s="23"/>
      <c r="B229" s="23"/>
      <c r="C229" s="23"/>
      <c r="D229" s="23"/>
      <c r="E229" s="23"/>
      <c r="F229" s="23"/>
      <c r="G229" s="23"/>
      <c r="I229" s="23"/>
      <c r="K229" s="23"/>
      <c r="L229" s="23"/>
      <c r="M229" s="23"/>
      <c r="N229" s="23"/>
      <c r="O229" s="23"/>
      <c r="P229" s="23"/>
    </row>
    <row r="230" ht="15.75" customHeight="1">
      <c r="A230" s="23"/>
      <c r="B230" s="23"/>
      <c r="C230" s="23"/>
      <c r="D230" s="23"/>
      <c r="E230" s="23"/>
      <c r="F230" s="23"/>
      <c r="G230" s="23"/>
      <c r="I230" s="23"/>
      <c r="K230" s="23"/>
      <c r="L230" s="23"/>
      <c r="M230" s="23"/>
      <c r="N230" s="23"/>
      <c r="O230" s="23"/>
      <c r="P230" s="23"/>
    </row>
    <row r="231" ht="15.75" customHeight="1">
      <c r="A231" s="23"/>
      <c r="B231" s="23"/>
      <c r="C231" s="23"/>
      <c r="D231" s="23"/>
      <c r="E231" s="23"/>
      <c r="F231" s="23"/>
      <c r="G231" s="23"/>
      <c r="I231" s="23"/>
      <c r="K231" s="23"/>
      <c r="L231" s="23"/>
      <c r="M231" s="23"/>
      <c r="N231" s="23"/>
      <c r="O231" s="23"/>
      <c r="P231" s="23"/>
    </row>
    <row r="232" ht="15.75" customHeight="1">
      <c r="A232" s="23"/>
      <c r="B232" s="23"/>
      <c r="C232" s="23"/>
      <c r="D232" s="23"/>
      <c r="E232" s="23"/>
      <c r="F232" s="23"/>
      <c r="G232" s="23"/>
      <c r="I232" s="23"/>
      <c r="K232" s="23"/>
      <c r="L232" s="23"/>
      <c r="M232" s="23"/>
      <c r="N232" s="23"/>
      <c r="O232" s="23"/>
      <c r="P232" s="23"/>
    </row>
    <row r="233" ht="15.75" customHeight="1">
      <c r="A233" s="23"/>
      <c r="B233" s="23"/>
      <c r="C233" s="23"/>
      <c r="D233" s="23"/>
      <c r="E233" s="23"/>
      <c r="F233" s="23"/>
      <c r="G233" s="23"/>
      <c r="I233" s="23"/>
      <c r="K233" s="23"/>
      <c r="L233" s="23"/>
      <c r="M233" s="23"/>
      <c r="N233" s="23"/>
      <c r="O233" s="23"/>
      <c r="P233" s="23"/>
    </row>
    <row r="234" ht="15.75" customHeight="1">
      <c r="A234" s="23"/>
      <c r="B234" s="23"/>
      <c r="C234" s="23"/>
      <c r="D234" s="23"/>
      <c r="E234" s="23"/>
      <c r="F234" s="23"/>
      <c r="G234" s="23"/>
      <c r="I234" s="23"/>
      <c r="K234" s="23"/>
      <c r="L234" s="23"/>
      <c r="M234" s="23"/>
      <c r="N234" s="23"/>
      <c r="O234" s="23"/>
      <c r="P234" s="23"/>
    </row>
    <row r="235" ht="15.75" customHeight="1">
      <c r="A235" s="23"/>
      <c r="B235" s="23"/>
      <c r="C235" s="23"/>
      <c r="D235" s="23"/>
      <c r="E235" s="23"/>
      <c r="F235" s="23"/>
      <c r="G235" s="23"/>
      <c r="I235" s="23"/>
      <c r="K235" s="23"/>
      <c r="L235" s="23"/>
      <c r="M235" s="23"/>
      <c r="N235" s="23"/>
      <c r="O235" s="23"/>
      <c r="P235" s="23"/>
    </row>
    <row r="236" ht="15.75" customHeight="1">
      <c r="A236" s="23"/>
      <c r="B236" s="23"/>
      <c r="C236" s="23"/>
      <c r="D236" s="23"/>
      <c r="E236" s="23"/>
      <c r="F236" s="23"/>
      <c r="G236" s="23"/>
      <c r="I236" s="23"/>
      <c r="K236" s="23"/>
      <c r="L236" s="23"/>
      <c r="M236" s="23"/>
      <c r="N236" s="23"/>
      <c r="O236" s="23"/>
      <c r="P236" s="23"/>
    </row>
    <row r="237" ht="15.75" customHeight="1">
      <c r="A237" s="23"/>
      <c r="B237" s="23"/>
      <c r="C237" s="23"/>
      <c r="D237" s="23"/>
      <c r="E237" s="23"/>
      <c r="F237" s="23"/>
      <c r="G237" s="23"/>
      <c r="I237" s="23"/>
      <c r="K237" s="23"/>
      <c r="L237" s="23"/>
      <c r="M237" s="23"/>
      <c r="N237" s="23"/>
      <c r="O237" s="23"/>
      <c r="P237" s="23"/>
    </row>
    <row r="238" ht="15.75" customHeight="1">
      <c r="A238" s="23"/>
      <c r="B238" s="23"/>
      <c r="C238" s="23"/>
      <c r="D238" s="23"/>
      <c r="E238" s="23"/>
      <c r="F238" s="23"/>
      <c r="G238" s="23"/>
      <c r="I238" s="23"/>
      <c r="K238" s="23"/>
      <c r="L238" s="23"/>
      <c r="M238" s="23"/>
      <c r="N238" s="23"/>
      <c r="O238" s="23"/>
      <c r="P238" s="23"/>
    </row>
    <row r="239" ht="15.75" customHeight="1">
      <c r="A239" s="23"/>
      <c r="B239" s="23"/>
      <c r="C239" s="23"/>
      <c r="D239" s="23"/>
      <c r="E239" s="23"/>
      <c r="F239" s="23"/>
      <c r="G239" s="23"/>
      <c r="I239" s="23"/>
      <c r="K239" s="23"/>
      <c r="L239" s="23"/>
      <c r="M239" s="23"/>
      <c r="N239" s="23"/>
      <c r="O239" s="23"/>
      <c r="P239" s="23"/>
    </row>
    <row r="240" ht="15.75" customHeight="1">
      <c r="A240" s="23"/>
      <c r="B240" s="23"/>
      <c r="C240" s="23"/>
      <c r="D240" s="23"/>
      <c r="E240" s="23"/>
      <c r="F240" s="23"/>
      <c r="G240" s="23"/>
      <c r="I240" s="23"/>
      <c r="K240" s="23"/>
      <c r="L240" s="23"/>
      <c r="M240" s="23"/>
      <c r="N240" s="23"/>
      <c r="O240" s="23"/>
      <c r="P240" s="23"/>
    </row>
    <row r="241" ht="15.75" customHeight="1">
      <c r="A241" s="23"/>
      <c r="B241" s="23"/>
      <c r="C241" s="23"/>
      <c r="D241" s="23"/>
      <c r="E241" s="23"/>
      <c r="F241" s="23"/>
      <c r="G241" s="23"/>
      <c r="I241" s="23"/>
      <c r="K241" s="23"/>
      <c r="L241" s="23"/>
      <c r="M241" s="23"/>
      <c r="N241" s="23"/>
      <c r="O241" s="23"/>
      <c r="P241" s="23"/>
    </row>
    <row r="242" ht="15.75" customHeight="1">
      <c r="A242" s="23"/>
      <c r="B242" s="23"/>
      <c r="C242" s="23"/>
      <c r="D242" s="23"/>
      <c r="E242" s="23"/>
      <c r="F242" s="23"/>
      <c r="G242" s="23"/>
      <c r="I242" s="23"/>
      <c r="K242" s="23"/>
      <c r="L242" s="23"/>
      <c r="M242" s="23"/>
      <c r="N242" s="23"/>
      <c r="O242" s="23"/>
      <c r="P242" s="23"/>
    </row>
    <row r="243" ht="15.75" customHeight="1">
      <c r="A243" s="23"/>
      <c r="B243" s="23"/>
      <c r="C243" s="23"/>
      <c r="D243" s="23"/>
      <c r="E243" s="23"/>
      <c r="F243" s="23"/>
      <c r="G243" s="23"/>
      <c r="I243" s="23"/>
      <c r="K243" s="23"/>
      <c r="L243" s="23"/>
      <c r="M243" s="23"/>
      <c r="N243" s="23"/>
      <c r="O243" s="23"/>
      <c r="P243" s="23"/>
    </row>
    <row r="244" ht="15.75" customHeight="1">
      <c r="A244" s="23"/>
      <c r="B244" s="23"/>
      <c r="C244" s="23"/>
      <c r="D244" s="23"/>
      <c r="E244" s="23"/>
      <c r="F244" s="23"/>
      <c r="G244" s="23"/>
      <c r="I244" s="23"/>
      <c r="K244" s="23"/>
      <c r="L244" s="23"/>
      <c r="M244" s="23"/>
      <c r="N244" s="23"/>
      <c r="O244" s="23"/>
      <c r="P244" s="23"/>
    </row>
    <row r="245" ht="15.75" customHeight="1">
      <c r="A245" s="23"/>
      <c r="B245" s="23"/>
      <c r="C245" s="23"/>
      <c r="D245" s="23"/>
      <c r="E245" s="23"/>
      <c r="F245" s="23"/>
      <c r="G245" s="23"/>
      <c r="I245" s="23"/>
      <c r="K245" s="23"/>
      <c r="L245" s="23"/>
      <c r="M245" s="23"/>
      <c r="N245" s="23"/>
      <c r="O245" s="23"/>
      <c r="P245" s="23"/>
    </row>
    <row r="246" ht="15.75" customHeight="1">
      <c r="A246" s="23"/>
      <c r="B246" s="23"/>
      <c r="C246" s="23"/>
      <c r="D246" s="23"/>
      <c r="E246" s="23"/>
      <c r="F246" s="23"/>
      <c r="G246" s="23"/>
      <c r="I246" s="23"/>
      <c r="K246" s="23"/>
      <c r="L246" s="23"/>
      <c r="M246" s="23"/>
      <c r="N246" s="23"/>
      <c r="O246" s="23"/>
      <c r="P246" s="23"/>
    </row>
    <row r="247" ht="15.75" customHeight="1">
      <c r="A247" s="23"/>
      <c r="B247" s="23"/>
      <c r="C247" s="23"/>
      <c r="D247" s="23"/>
      <c r="E247" s="23"/>
      <c r="F247" s="23"/>
      <c r="G247" s="23"/>
      <c r="I247" s="23"/>
      <c r="K247" s="23"/>
      <c r="L247" s="23"/>
      <c r="M247" s="23"/>
      <c r="N247" s="23"/>
      <c r="O247" s="23"/>
      <c r="P247" s="23"/>
    </row>
    <row r="248" ht="15.75" customHeight="1">
      <c r="A248" s="23"/>
      <c r="B248" s="23"/>
      <c r="C248" s="23"/>
      <c r="D248" s="23"/>
      <c r="E248" s="23"/>
      <c r="F248" s="23"/>
      <c r="G248" s="23"/>
      <c r="I248" s="23"/>
      <c r="K248" s="23"/>
      <c r="L248" s="23"/>
      <c r="M248" s="23"/>
      <c r="N248" s="23"/>
      <c r="O248" s="23"/>
      <c r="P248" s="23"/>
    </row>
    <row r="249" ht="15.75" customHeight="1">
      <c r="A249" s="23"/>
      <c r="B249" s="23"/>
      <c r="C249" s="23"/>
      <c r="D249" s="23"/>
      <c r="E249" s="23"/>
      <c r="F249" s="23"/>
      <c r="G249" s="23"/>
      <c r="I249" s="23"/>
      <c r="K249" s="23"/>
      <c r="L249" s="23"/>
      <c r="M249" s="23"/>
      <c r="N249" s="23"/>
      <c r="O249" s="23"/>
      <c r="P249" s="23"/>
    </row>
    <row r="250" ht="15.75" customHeight="1">
      <c r="A250" s="23"/>
      <c r="B250" s="23"/>
      <c r="C250" s="23"/>
      <c r="D250" s="23"/>
      <c r="E250" s="23"/>
      <c r="F250" s="23"/>
      <c r="G250" s="23"/>
      <c r="I250" s="23"/>
      <c r="K250" s="23"/>
      <c r="L250" s="23"/>
      <c r="M250" s="23"/>
      <c r="N250" s="23"/>
      <c r="O250" s="23"/>
      <c r="P250" s="23"/>
    </row>
    <row r="251" ht="15.75" customHeight="1">
      <c r="A251" s="23"/>
      <c r="B251" s="23"/>
      <c r="C251" s="23"/>
      <c r="D251" s="23"/>
      <c r="E251" s="23"/>
      <c r="F251" s="23"/>
      <c r="G251" s="23"/>
      <c r="I251" s="23"/>
      <c r="K251" s="23"/>
      <c r="L251" s="23"/>
      <c r="M251" s="23"/>
      <c r="N251" s="23"/>
      <c r="O251" s="23"/>
      <c r="P251" s="23"/>
    </row>
    <row r="252" ht="15.75" customHeight="1">
      <c r="A252" s="23"/>
      <c r="B252" s="23"/>
      <c r="C252" s="23"/>
      <c r="D252" s="23"/>
      <c r="E252" s="23"/>
      <c r="F252" s="23"/>
      <c r="G252" s="23"/>
      <c r="I252" s="23"/>
      <c r="K252" s="23"/>
      <c r="L252" s="23"/>
      <c r="M252" s="23"/>
      <c r="N252" s="23"/>
      <c r="O252" s="23"/>
      <c r="P252" s="23"/>
    </row>
    <row r="253" ht="15.75" customHeight="1">
      <c r="A253" s="23"/>
      <c r="B253" s="23"/>
      <c r="C253" s="23"/>
      <c r="D253" s="23"/>
      <c r="E253" s="23"/>
      <c r="F253" s="23"/>
      <c r="G253" s="23"/>
      <c r="I253" s="23"/>
      <c r="K253" s="23"/>
      <c r="L253" s="23"/>
      <c r="M253" s="23"/>
      <c r="N253" s="23"/>
      <c r="O253" s="23"/>
      <c r="P253" s="23"/>
    </row>
    <row r="254" ht="15.75" customHeight="1">
      <c r="A254" s="23"/>
      <c r="B254" s="23"/>
      <c r="C254" s="23"/>
      <c r="D254" s="23"/>
      <c r="E254" s="23"/>
      <c r="F254" s="23"/>
      <c r="G254" s="23"/>
      <c r="I254" s="23"/>
      <c r="K254" s="23"/>
      <c r="L254" s="23"/>
      <c r="M254" s="23"/>
      <c r="N254" s="23"/>
      <c r="O254" s="23"/>
      <c r="P254" s="23"/>
    </row>
    <row r="255" ht="15.75" customHeight="1">
      <c r="A255" s="23"/>
      <c r="B255" s="23"/>
      <c r="C255" s="23"/>
      <c r="D255" s="23"/>
      <c r="E255" s="23"/>
      <c r="F255" s="23"/>
      <c r="G255" s="23"/>
      <c r="I255" s="23"/>
      <c r="K255" s="23"/>
      <c r="L255" s="23"/>
      <c r="M255" s="23"/>
      <c r="N255" s="23"/>
      <c r="O255" s="23"/>
      <c r="P255" s="23"/>
    </row>
    <row r="256" ht="15.75" customHeight="1">
      <c r="A256" s="23"/>
      <c r="B256" s="23"/>
      <c r="C256" s="23"/>
      <c r="D256" s="23"/>
      <c r="E256" s="23"/>
      <c r="F256" s="23"/>
      <c r="G256" s="23"/>
      <c r="I256" s="23"/>
      <c r="K256" s="23"/>
      <c r="L256" s="23"/>
      <c r="M256" s="23"/>
      <c r="N256" s="23"/>
      <c r="O256" s="23"/>
      <c r="P256" s="23"/>
    </row>
    <row r="257" ht="15.75" customHeight="1">
      <c r="A257" s="23"/>
      <c r="B257" s="23"/>
      <c r="C257" s="23"/>
      <c r="D257" s="23"/>
      <c r="E257" s="23"/>
      <c r="F257" s="23"/>
      <c r="G257" s="23"/>
      <c r="I257" s="23"/>
      <c r="K257" s="23"/>
      <c r="L257" s="23"/>
      <c r="M257" s="23"/>
      <c r="N257" s="23"/>
      <c r="O257" s="23"/>
      <c r="P257" s="23"/>
    </row>
    <row r="258" ht="15.75" customHeight="1">
      <c r="A258" s="23"/>
      <c r="B258" s="23"/>
      <c r="C258" s="23"/>
      <c r="D258" s="23"/>
      <c r="E258" s="23"/>
      <c r="F258" s="23"/>
      <c r="G258" s="23"/>
      <c r="I258" s="23"/>
      <c r="K258" s="23"/>
      <c r="L258" s="23"/>
      <c r="M258" s="23"/>
      <c r="N258" s="23"/>
      <c r="O258" s="23"/>
      <c r="P258" s="23"/>
    </row>
    <row r="259" ht="15.75" customHeight="1">
      <c r="A259" s="23"/>
      <c r="B259" s="23"/>
      <c r="C259" s="23"/>
      <c r="D259" s="23"/>
      <c r="E259" s="23"/>
      <c r="F259" s="23"/>
      <c r="G259" s="23"/>
      <c r="I259" s="23"/>
      <c r="K259" s="23"/>
      <c r="L259" s="23"/>
      <c r="M259" s="23"/>
      <c r="N259" s="23"/>
      <c r="O259" s="23"/>
      <c r="P259" s="23"/>
    </row>
    <row r="260" ht="15.75" customHeight="1">
      <c r="A260" s="23"/>
      <c r="B260" s="23"/>
      <c r="C260" s="23"/>
      <c r="D260" s="23"/>
      <c r="E260" s="23"/>
      <c r="F260" s="23"/>
      <c r="G260" s="23"/>
      <c r="I260" s="23"/>
      <c r="K260" s="23"/>
      <c r="L260" s="23"/>
      <c r="M260" s="23"/>
      <c r="N260" s="23"/>
      <c r="O260" s="23"/>
      <c r="P260" s="23"/>
    </row>
    <row r="261" ht="15.75" customHeight="1">
      <c r="A261" s="23"/>
      <c r="B261" s="23"/>
      <c r="C261" s="23"/>
      <c r="D261" s="23"/>
      <c r="E261" s="23"/>
      <c r="F261" s="23"/>
      <c r="G261" s="23"/>
      <c r="I261" s="23"/>
      <c r="K261" s="23"/>
      <c r="L261" s="23"/>
      <c r="M261" s="23"/>
      <c r="N261" s="23"/>
      <c r="O261" s="23"/>
      <c r="P261" s="23"/>
    </row>
    <row r="262" ht="15.75" customHeight="1">
      <c r="A262" s="23"/>
      <c r="B262" s="23"/>
      <c r="C262" s="23"/>
      <c r="D262" s="23"/>
      <c r="E262" s="23"/>
      <c r="F262" s="23"/>
      <c r="G262" s="23"/>
      <c r="I262" s="23"/>
      <c r="K262" s="23"/>
      <c r="L262" s="23"/>
      <c r="M262" s="23"/>
      <c r="N262" s="23"/>
      <c r="O262" s="23"/>
      <c r="P262" s="23"/>
    </row>
    <row r="263" ht="15.75" customHeight="1">
      <c r="A263" s="23"/>
      <c r="B263" s="23"/>
      <c r="C263" s="23"/>
      <c r="D263" s="23"/>
      <c r="E263" s="23"/>
      <c r="F263" s="23"/>
      <c r="G263" s="23"/>
      <c r="I263" s="23"/>
      <c r="K263" s="23"/>
      <c r="L263" s="23"/>
      <c r="M263" s="23"/>
      <c r="N263" s="23"/>
      <c r="O263" s="23"/>
      <c r="P263" s="23"/>
    </row>
    <row r="264" ht="15.75" customHeight="1">
      <c r="A264" s="23"/>
      <c r="B264" s="23"/>
      <c r="C264" s="23"/>
      <c r="D264" s="23"/>
      <c r="E264" s="23"/>
      <c r="F264" s="23"/>
      <c r="G264" s="23"/>
      <c r="I264" s="23"/>
      <c r="K264" s="23"/>
      <c r="L264" s="23"/>
      <c r="M264" s="23"/>
      <c r="N264" s="23"/>
      <c r="O264" s="23"/>
      <c r="P264" s="23"/>
    </row>
    <row r="265" ht="15.75" customHeight="1">
      <c r="A265" s="23"/>
      <c r="B265" s="23"/>
      <c r="C265" s="23"/>
      <c r="D265" s="23"/>
      <c r="E265" s="23"/>
      <c r="F265" s="23"/>
      <c r="G265" s="23"/>
      <c r="I265" s="23"/>
      <c r="K265" s="23"/>
      <c r="L265" s="23"/>
      <c r="M265" s="23"/>
      <c r="N265" s="23"/>
      <c r="O265" s="23"/>
      <c r="P265" s="23"/>
    </row>
    <row r="266" ht="15.75" customHeight="1">
      <c r="A266" s="23"/>
      <c r="B266" s="23"/>
      <c r="C266" s="23"/>
      <c r="D266" s="23"/>
      <c r="E266" s="23"/>
      <c r="F266" s="23"/>
      <c r="G266" s="23"/>
      <c r="I266" s="23"/>
      <c r="K266" s="23"/>
      <c r="L266" s="23"/>
      <c r="M266" s="23"/>
      <c r="N266" s="23"/>
      <c r="O266" s="23"/>
      <c r="P266" s="23"/>
    </row>
    <row r="267" ht="15.75" customHeight="1">
      <c r="A267" s="23"/>
      <c r="B267" s="23"/>
      <c r="C267" s="23"/>
      <c r="D267" s="23"/>
      <c r="E267" s="23"/>
      <c r="F267" s="23"/>
      <c r="G267" s="23"/>
      <c r="I267" s="23"/>
      <c r="K267" s="23"/>
      <c r="L267" s="23"/>
      <c r="M267" s="23"/>
      <c r="N267" s="23"/>
      <c r="O267" s="23"/>
      <c r="P267" s="23"/>
    </row>
    <row r="268" ht="15.75" customHeight="1">
      <c r="A268" s="23"/>
      <c r="B268" s="23"/>
      <c r="C268" s="23"/>
      <c r="D268" s="23"/>
      <c r="E268" s="23"/>
      <c r="F268" s="23"/>
      <c r="G268" s="23"/>
      <c r="I268" s="23"/>
      <c r="K268" s="23"/>
      <c r="L268" s="23"/>
      <c r="M268" s="23"/>
      <c r="N268" s="23"/>
      <c r="O268" s="23"/>
      <c r="P268" s="23"/>
    </row>
    <row r="269" ht="15.75" customHeight="1">
      <c r="A269" s="23"/>
      <c r="B269" s="23"/>
      <c r="C269" s="23"/>
      <c r="D269" s="23"/>
      <c r="E269" s="23"/>
      <c r="F269" s="23"/>
      <c r="G269" s="23"/>
      <c r="I269" s="23"/>
      <c r="K269" s="23"/>
      <c r="L269" s="23"/>
      <c r="M269" s="23"/>
      <c r="N269" s="23"/>
      <c r="O269" s="23"/>
      <c r="P269" s="23"/>
    </row>
    <row r="270" ht="15.75" customHeight="1">
      <c r="A270" s="23"/>
      <c r="B270" s="23"/>
      <c r="C270" s="23"/>
      <c r="D270" s="23"/>
      <c r="E270" s="23"/>
      <c r="F270" s="23"/>
      <c r="G270" s="23"/>
      <c r="I270" s="23"/>
      <c r="K270" s="23"/>
      <c r="L270" s="23"/>
      <c r="M270" s="23"/>
      <c r="N270" s="23"/>
      <c r="O270" s="23"/>
      <c r="P270" s="23"/>
    </row>
    <row r="271" ht="15.75" customHeight="1">
      <c r="A271" s="23"/>
      <c r="B271" s="23"/>
      <c r="C271" s="23"/>
      <c r="D271" s="23"/>
      <c r="E271" s="23"/>
      <c r="F271" s="23"/>
      <c r="G271" s="23"/>
      <c r="I271" s="23"/>
      <c r="K271" s="23"/>
      <c r="L271" s="23"/>
      <c r="M271" s="23"/>
      <c r="N271" s="23"/>
      <c r="O271" s="23"/>
      <c r="P271" s="23"/>
    </row>
    <row r="272" ht="15.75" customHeight="1">
      <c r="A272" s="23"/>
      <c r="B272" s="23"/>
      <c r="C272" s="23"/>
      <c r="D272" s="23"/>
      <c r="E272" s="23"/>
      <c r="F272" s="23"/>
      <c r="G272" s="23"/>
      <c r="I272" s="23"/>
      <c r="K272" s="23"/>
      <c r="L272" s="23"/>
      <c r="M272" s="23"/>
      <c r="N272" s="23"/>
      <c r="O272" s="23"/>
      <c r="P272" s="23"/>
    </row>
    <row r="273" ht="15.75" customHeight="1">
      <c r="A273" s="23"/>
      <c r="B273" s="23"/>
      <c r="C273" s="23"/>
      <c r="D273" s="23"/>
      <c r="E273" s="23"/>
      <c r="F273" s="23"/>
      <c r="G273" s="23"/>
      <c r="I273" s="23"/>
      <c r="K273" s="23"/>
      <c r="L273" s="23"/>
      <c r="M273" s="23"/>
      <c r="N273" s="23"/>
      <c r="O273" s="23"/>
      <c r="P273" s="23"/>
    </row>
    <row r="274" ht="15.75" customHeight="1">
      <c r="A274" s="23"/>
      <c r="B274" s="23"/>
      <c r="C274" s="23"/>
      <c r="D274" s="23"/>
      <c r="E274" s="23"/>
      <c r="F274" s="23"/>
      <c r="G274" s="23"/>
      <c r="I274" s="23"/>
      <c r="K274" s="23"/>
      <c r="L274" s="23"/>
      <c r="M274" s="23"/>
      <c r="N274" s="23"/>
      <c r="O274" s="23"/>
      <c r="P274" s="23"/>
    </row>
    <row r="275" ht="15.75" customHeight="1">
      <c r="A275" s="23"/>
      <c r="B275" s="23"/>
      <c r="C275" s="23"/>
      <c r="D275" s="23"/>
      <c r="E275" s="23"/>
      <c r="F275" s="23"/>
      <c r="G275" s="23"/>
      <c r="I275" s="23"/>
      <c r="K275" s="23"/>
      <c r="L275" s="23"/>
      <c r="M275" s="23"/>
      <c r="N275" s="23"/>
      <c r="O275" s="23"/>
      <c r="P275" s="23"/>
    </row>
    <row r="276" ht="15.75" customHeight="1">
      <c r="A276" s="23"/>
      <c r="B276" s="23"/>
      <c r="C276" s="23"/>
      <c r="D276" s="23"/>
      <c r="E276" s="23"/>
      <c r="F276" s="23"/>
      <c r="G276" s="23"/>
      <c r="I276" s="23"/>
      <c r="K276" s="23"/>
      <c r="L276" s="23"/>
      <c r="M276" s="23"/>
      <c r="N276" s="23"/>
      <c r="O276" s="23"/>
      <c r="P276" s="23"/>
    </row>
    <row r="277" ht="15.75" customHeight="1">
      <c r="A277" s="23"/>
      <c r="B277" s="23"/>
      <c r="C277" s="23"/>
      <c r="D277" s="23"/>
      <c r="E277" s="23"/>
      <c r="F277" s="23"/>
      <c r="G277" s="23"/>
      <c r="I277" s="23"/>
      <c r="K277" s="23"/>
      <c r="L277" s="23"/>
      <c r="M277" s="23"/>
      <c r="N277" s="23"/>
      <c r="O277" s="23"/>
      <c r="P277" s="23"/>
    </row>
    <row r="278" ht="15.75" customHeight="1">
      <c r="A278" s="23"/>
      <c r="B278" s="23"/>
      <c r="C278" s="23"/>
      <c r="D278" s="23"/>
      <c r="E278" s="23"/>
      <c r="F278" s="23"/>
      <c r="G278" s="23"/>
      <c r="I278" s="23"/>
      <c r="K278" s="23"/>
      <c r="L278" s="23"/>
      <c r="M278" s="23"/>
      <c r="N278" s="23"/>
      <c r="O278" s="23"/>
      <c r="P278" s="23"/>
    </row>
    <row r="279" ht="15.75" customHeight="1">
      <c r="A279" s="23"/>
      <c r="B279" s="23"/>
      <c r="C279" s="23"/>
      <c r="D279" s="23"/>
      <c r="E279" s="23"/>
      <c r="F279" s="23"/>
      <c r="G279" s="23"/>
      <c r="I279" s="23"/>
      <c r="K279" s="23"/>
      <c r="L279" s="23"/>
      <c r="M279" s="23"/>
      <c r="N279" s="23"/>
      <c r="O279" s="23"/>
      <c r="P279" s="23"/>
    </row>
    <row r="280" ht="15.75" customHeight="1">
      <c r="A280" s="23"/>
      <c r="B280" s="23"/>
      <c r="C280" s="23"/>
      <c r="D280" s="23"/>
      <c r="E280" s="23"/>
      <c r="F280" s="23"/>
      <c r="G280" s="23"/>
      <c r="I280" s="23"/>
      <c r="K280" s="23"/>
      <c r="L280" s="23"/>
      <c r="M280" s="23"/>
      <c r="N280" s="23"/>
      <c r="O280" s="23"/>
      <c r="P280" s="23"/>
    </row>
    <row r="281" ht="15.75" customHeight="1">
      <c r="A281" s="23"/>
      <c r="B281" s="23"/>
      <c r="C281" s="23"/>
      <c r="D281" s="23"/>
      <c r="E281" s="23"/>
      <c r="F281" s="23"/>
      <c r="G281" s="23"/>
      <c r="I281" s="23"/>
      <c r="K281" s="23"/>
      <c r="L281" s="23"/>
      <c r="M281" s="23"/>
      <c r="N281" s="23"/>
      <c r="O281" s="23"/>
      <c r="P281" s="23"/>
    </row>
    <row r="282" ht="15.75" customHeight="1">
      <c r="A282" s="23"/>
      <c r="B282" s="23"/>
      <c r="C282" s="23"/>
      <c r="D282" s="23"/>
      <c r="E282" s="23"/>
      <c r="F282" s="23"/>
      <c r="G282" s="23"/>
      <c r="I282" s="23"/>
      <c r="K282" s="23"/>
      <c r="L282" s="23"/>
      <c r="M282" s="23"/>
      <c r="N282" s="23"/>
      <c r="O282" s="23"/>
      <c r="P282" s="23"/>
    </row>
    <row r="283" ht="15.75" customHeight="1">
      <c r="A283" s="23"/>
      <c r="B283" s="23"/>
      <c r="C283" s="23"/>
      <c r="D283" s="23"/>
      <c r="E283" s="23"/>
      <c r="F283" s="23"/>
      <c r="G283" s="23"/>
      <c r="I283" s="23"/>
      <c r="K283" s="23"/>
      <c r="L283" s="23"/>
      <c r="M283" s="23"/>
      <c r="N283" s="23"/>
      <c r="O283" s="23"/>
      <c r="P283" s="23"/>
    </row>
    <row r="284" ht="15.75" customHeight="1">
      <c r="A284" s="23"/>
      <c r="B284" s="23"/>
      <c r="C284" s="23"/>
      <c r="D284" s="23"/>
      <c r="E284" s="23"/>
      <c r="F284" s="23"/>
      <c r="G284" s="23"/>
      <c r="I284" s="23"/>
      <c r="K284" s="23"/>
      <c r="L284" s="23"/>
      <c r="M284" s="23"/>
      <c r="N284" s="23"/>
      <c r="O284" s="23"/>
      <c r="P284" s="23"/>
    </row>
    <row r="285" ht="15.75" customHeight="1">
      <c r="A285" s="23"/>
      <c r="B285" s="23"/>
      <c r="C285" s="23"/>
      <c r="D285" s="23"/>
      <c r="E285" s="23"/>
      <c r="F285" s="23"/>
      <c r="G285" s="23"/>
      <c r="I285" s="23"/>
      <c r="K285" s="23"/>
      <c r="L285" s="23"/>
      <c r="M285" s="23"/>
      <c r="N285" s="23"/>
      <c r="O285" s="23"/>
      <c r="P285" s="23"/>
    </row>
    <row r="286" ht="15.75" customHeight="1">
      <c r="A286" s="23"/>
      <c r="B286" s="23"/>
      <c r="C286" s="23"/>
      <c r="D286" s="23"/>
      <c r="E286" s="23"/>
      <c r="F286" s="23"/>
      <c r="G286" s="23"/>
      <c r="I286" s="23"/>
      <c r="K286" s="23"/>
      <c r="L286" s="23"/>
      <c r="M286" s="23"/>
      <c r="N286" s="23"/>
      <c r="O286" s="23"/>
      <c r="P286" s="23"/>
    </row>
    <row r="287" ht="15.75" customHeight="1">
      <c r="A287" s="23"/>
      <c r="B287" s="23"/>
      <c r="C287" s="23"/>
      <c r="D287" s="23"/>
      <c r="E287" s="23"/>
      <c r="F287" s="23"/>
      <c r="G287" s="23"/>
      <c r="I287" s="23"/>
      <c r="K287" s="23"/>
      <c r="L287" s="23"/>
      <c r="M287" s="23"/>
      <c r="N287" s="23"/>
      <c r="O287" s="23"/>
      <c r="P287" s="23"/>
    </row>
    <row r="288" ht="15.75" customHeight="1">
      <c r="A288" s="23"/>
      <c r="B288" s="23"/>
      <c r="C288" s="23"/>
      <c r="D288" s="23"/>
      <c r="E288" s="23"/>
      <c r="F288" s="23"/>
      <c r="G288" s="23"/>
      <c r="I288" s="23"/>
      <c r="K288" s="23"/>
      <c r="L288" s="23"/>
      <c r="M288" s="23"/>
      <c r="N288" s="23"/>
      <c r="O288" s="23"/>
      <c r="P288" s="23"/>
    </row>
    <row r="289" ht="15.75" customHeight="1">
      <c r="A289" s="23"/>
      <c r="B289" s="23"/>
      <c r="C289" s="23"/>
      <c r="D289" s="23"/>
      <c r="E289" s="23"/>
      <c r="F289" s="23"/>
      <c r="G289" s="23"/>
      <c r="I289" s="23"/>
      <c r="K289" s="23"/>
      <c r="L289" s="23"/>
      <c r="M289" s="23"/>
      <c r="N289" s="23"/>
      <c r="O289" s="23"/>
      <c r="P289" s="23"/>
    </row>
    <row r="290" ht="15.75" customHeight="1">
      <c r="A290" s="23"/>
      <c r="B290" s="23"/>
      <c r="C290" s="23"/>
      <c r="D290" s="23"/>
      <c r="E290" s="23"/>
      <c r="F290" s="23"/>
      <c r="G290" s="23"/>
      <c r="I290" s="23"/>
      <c r="K290" s="23"/>
      <c r="L290" s="23"/>
      <c r="M290" s="23"/>
      <c r="N290" s="23"/>
      <c r="O290" s="23"/>
      <c r="P290" s="23"/>
    </row>
    <row r="291" ht="15.75" customHeight="1">
      <c r="A291" s="23"/>
      <c r="B291" s="23"/>
      <c r="C291" s="23"/>
      <c r="D291" s="23"/>
      <c r="E291" s="23"/>
      <c r="F291" s="23"/>
      <c r="G291" s="23"/>
      <c r="I291" s="23"/>
      <c r="K291" s="23"/>
      <c r="L291" s="23"/>
      <c r="M291" s="23"/>
      <c r="N291" s="23"/>
      <c r="O291" s="23"/>
      <c r="P291" s="23"/>
    </row>
    <row r="292" ht="15.75" customHeight="1">
      <c r="A292" s="23"/>
      <c r="B292" s="23"/>
      <c r="C292" s="23"/>
      <c r="D292" s="23"/>
      <c r="E292" s="23"/>
      <c r="F292" s="23"/>
      <c r="G292" s="23"/>
      <c r="I292" s="23"/>
      <c r="K292" s="23"/>
      <c r="L292" s="23"/>
      <c r="M292" s="23"/>
      <c r="N292" s="23"/>
      <c r="O292" s="23"/>
      <c r="P292" s="23"/>
    </row>
    <row r="293" ht="15.75" customHeight="1">
      <c r="A293" s="23"/>
      <c r="B293" s="23"/>
      <c r="C293" s="23"/>
      <c r="D293" s="23"/>
      <c r="E293" s="23"/>
      <c r="F293" s="23"/>
      <c r="G293" s="23"/>
      <c r="I293" s="23"/>
      <c r="K293" s="23"/>
      <c r="L293" s="23"/>
      <c r="M293" s="23"/>
      <c r="N293" s="23"/>
      <c r="O293" s="23"/>
      <c r="P293" s="23"/>
    </row>
    <row r="294" ht="15.75" customHeight="1">
      <c r="A294" s="23"/>
      <c r="B294" s="23"/>
      <c r="C294" s="23"/>
      <c r="D294" s="23"/>
      <c r="E294" s="23"/>
      <c r="F294" s="23"/>
      <c r="G294" s="23"/>
      <c r="I294" s="23"/>
      <c r="K294" s="23"/>
      <c r="L294" s="23"/>
      <c r="M294" s="23"/>
      <c r="N294" s="23"/>
      <c r="O294" s="23"/>
      <c r="P294" s="23"/>
    </row>
    <row r="295" ht="15.75" customHeight="1">
      <c r="A295" s="23"/>
      <c r="B295" s="23"/>
      <c r="C295" s="23"/>
      <c r="D295" s="23"/>
      <c r="E295" s="23"/>
      <c r="F295" s="23"/>
      <c r="G295" s="23"/>
      <c r="I295" s="23"/>
      <c r="K295" s="23"/>
      <c r="L295" s="23"/>
      <c r="M295" s="23"/>
      <c r="N295" s="23"/>
      <c r="O295" s="23"/>
      <c r="P295" s="23"/>
    </row>
    <row r="296" ht="15.75" customHeight="1">
      <c r="A296" s="23"/>
      <c r="B296" s="23"/>
      <c r="C296" s="23"/>
      <c r="D296" s="23"/>
      <c r="E296" s="23"/>
      <c r="F296" s="23"/>
      <c r="G296" s="23"/>
      <c r="I296" s="23"/>
      <c r="K296" s="23"/>
      <c r="L296" s="23"/>
      <c r="M296" s="23"/>
      <c r="N296" s="23"/>
      <c r="O296" s="23"/>
      <c r="P296" s="23"/>
    </row>
    <row r="297" ht="15.75" customHeight="1">
      <c r="A297" s="23"/>
      <c r="B297" s="23"/>
      <c r="C297" s="23"/>
      <c r="D297" s="23"/>
      <c r="E297" s="23"/>
      <c r="F297" s="23"/>
      <c r="G297" s="23"/>
      <c r="I297" s="23"/>
      <c r="K297" s="23"/>
      <c r="L297" s="23"/>
      <c r="M297" s="23"/>
      <c r="N297" s="23"/>
      <c r="O297" s="23"/>
      <c r="P297" s="23"/>
    </row>
    <row r="298" ht="15.75" customHeight="1">
      <c r="A298" s="23"/>
      <c r="B298" s="23"/>
      <c r="C298" s="23"/>
      <c r="D298" s="23"/>
      <c r="E298" s="23"/>
      <c r="F298" s="23"/>
      <c r="G298" s="23"/>
      <c r="I298" s="23"/>
      <c r="K298" s="23"/>
      <c r="L298" s="23"/>
      <c r="M298" s="23"/>
      <c r="N298" s="23"/>
      <c r="O298" s="23"/>
      <c r="P298" s="23"/>
    </row>
    <row r="299" ht="15.75" customHeight="1">
      <c r="A299" s="23"/>
      <c r="B299" s="23"/>
      <c r="C299" s="23"/>
      <c r="D299" s="23"/>
      <c r="E299" s="23"/>
      <c r="F299" s="23"/>
      <c r="G299" s="23"/>
      <c r="I299" s="23"/>
      <c r="K299" s="23"/>
      <c r="L299" s="23"/>
      <c r="M299" s="23"/>
      <c r="N299" s="23"/>
      <c r="O299" s="23"/>
      <c r="P299" s="23"/>
    </row>
    <row r="300" ht="15.75" customHeight="1">
      <c r="A300" s="23"/>
      <c r="B300" s="23"/>
      <c r="C300" s="23"/>
      <c r="D300" s="23"/>
      <c r="E300" s="23"/>
      <c r="F300" s="23"/>
      <c r="G300" s="23"/>
      <c r="I300" s="23"/>
      <c r="K300" s="23"/>
      <c r="L300" s="23"/>
      <c r="M300" s="23"/>
      <c r="N300" s="23"/>
      <c r="O300" s="23"/>
      <c r="P300" s="23"/>
    </row>
    <row r="301" ht="15.75" customHeight="1">
      <c r="A301" s="23"/>
      <c r="B301" s="23"/>
      <c r="C301" s="23"/>
      <c r="D301" s="23"/>
      <c r="E301" s="23"/>
      <c r="F301" s="23"/>
      <c r="G301" s="23"/>
      <c r="I301" s="23"/>
      <c r="K301" s="23"/>
      <c r="L301" s="23"/>
      <c r="M301" s="23"/>
      <c r="N301" s="23"/>
      <c r="O301" s="23"/>
      <c r="P301" s="23"/>
    </row>
    <row r="302" ht="15.75" customHeight="1">
      <c r="A302" s="23"/>
      <c r="B302" s="23"/>
      <c r="C302" s="23"/>
      <c r="D302" s="23"/>
      <c r="E302" s="23"/>
      <c r="F302" s="23"/>
      <c r="G302" s="23"/>
      <c r="I302" s="23"/>
      <c r="K302" s="23"/>
      <c r="L302" s="23"/>
      <c r="M302" s="23"/>
      <c r="N302" s="23"/>
      <c r="O302" s="23"/>
      <c r="P302" s="23"/>
    </row>
    <row r="303" ht="15.75" customHeight="1">
      <c r="A303" s="23"/>
      <c r="B303" s="23"/>
      <c r="C303" s="23"/>
      <c r="D303" s="23"/>
      <c r="E303" s="23"/>
      <c r="F303" s="23"/>
      <c r="G303" s="23"/>
      <c r="I303" s="23"/>
      <c r="K303" s="23"/>
      <c r="L303" s="23"/>
      <c r="M303" s="23"/>
      <c r="N303" s="23"/>
      <c r="O303" s="23"/>
      <c r="P303" s="23"/>
    </row>
    <row r="304" ht="15.75" customHeight="1">
      <c r="A304" s="23"/>
      <c r="B304" s="23"/>
      <c r="C304" s="23"/>
      <c r="D304" s="23"/>
      <c r="E304" s="23"/>
      <c r="F304" s="23"/>
      <c r="G304" s="23"/>
      <c r="I304" s="23"/>
      <c r="K304" s="23"/>
      <c r="L304" s="23"/>
      <c r="M304" s="23"/>
      <c r="N304" s="23"/>
      <c r="O304" s="23"/>
      <c r="P304" s="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04"/>
  <mergeCells count="3">
    <mergeCell ref="A1:Q1"/>
    <mergeCell ref="A2:Q2"/>
    <mergeCell ref="A3:Q3"/>
  </mergeCells>
  <dataValidations>
    <dataValidation type="list" allowBlank="1" showInputMessage="1" showErrorMessage="1" prompt="Объект" sqref="C5:C304">
      <formula1>'Система'!$AA$33:$AA$232</formula1>
    </dataValidation>
    <dataValidation type="list" allowBlank="1" showInputMessage="1" showErrorMessage="1" prompt="Исходное состояние" sqref="D5:D304">
      <formula1>'Система'!$AB$33:$AB$332</formula1>
    </dataValidation>
    <dataValidation type="list" allowBlank="1" showInputMessage="1" showErrorMessage="1" prompt="Действие" sqref="F5:F304">
      <formula1>'Система'!$Z$33:$Z$332</formula1>
    </dataValidation>
    <dataValidation type="list" allowBlank="1" showInputMessage="1" showErrorMessage="1" prompt="Приоритет" sqref="P5:P304">
      <formula1>'Система'!$M$33:$M$36</formula1>
    </dataValidation>
    <dataValidation type="list" allowBlank="1" showInputMessage="1" showErrorMessage="1" prompt="Версия" sqref="M5:M304">
      <formula1>'Система'!$AE$33:$AE$132</formula1>
    </dataValidation>
    <dataValidation type="custom" allowBlank="1" showDropDown="1" showInputMessage="1" showErrorMessage="1" prompt="Стабильный ID формата tr-..." sqref="A5:A304">
      <formula1>OR(A5="",REGEXMATCH(A5,"^tr-[A-Za-z0-9._-]+$"))</formula1>
    </dataValidation>
    <dataValidation type="list" allowBlank="1" showInputMessage="1" showErrorMessage="1" prompt="Целевое состояние" sqref="E5:E304">
      <formula1>'Система'!$AB$33:$AB$332</formula1>
    </dataValidation>
    <dataValidation type="list" allowBlank="1" showInputMessage="1" showErrorMessage="1" prompt="Переход-исключение" sqref="K5:K304">
      <formula1>'Система'!$AJ$33:$AJ$332</formula1>
    </dataValidation>
    <dataValidation type="list" allowBlank="1" showInputMessage="1" showErrorMessage="1" prompt="Процесс" sqref="B5:B304">
      <formula1>'Система'!$Y$33:$Y$232</formula1>
    </dataValidation>
    <dataValidation type="list" allowBlank="1" showInputMessage="1" showErrorMessage="1" prompt="Принимающая решение позиция" sqref="I5:I304">
      <formula1>'Система'!$AC$33:$AC$232</formula1>
    </dataValidation>
    <dataValidation type="list" allowBlank="1" showInputMessage="1" showErrorMessage="1" prompt="Слой модели" sqref="L5:L304">
      <formula1>'Система'!$B$33:$B$34</formula1>
    </dataValidation>
    <dataValidation type="list" allowBlank="1" showInputMessage="1" showErrorMessage="1" prompt="Тип триггера" sqref="G5:G304">
      <formula1>'Система'!$O$33:$O$36</formula1>
    </dataValidation>
    <dataValidation type="list" allowBlank="1" showInputMessage="1" showErrorMessage="1" prompt="Статус знания" sqref="N5:N304">
      <formula1>'Система'!$A$33:$A$38</formula1>
    </dataValidation>
    <dataValidation type="list" allowBlank="1" showInputMessage="1" showErrorMessage="1" prompt="Источник" sqref="O5:O3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5.0"/>
    <col customWidth="1" min="4" max="4" width="20.0"/>
    <col customWidth="1" min="5" max="5" width="31.13"/>
    <col customWidth="1" min="6" max="6" width="15.0"/>
    <col customWidth="1" min="7" max="7" width="31.13"/>
    <col customWidth="1" min="8" max="9" width="20.0"/>
    <col customWidth="1" min="10" max="14" width="15.0"/>
    <col customWidth="1" min="15" max="16" width="12.25"/>
    <col customWidth="1" min="17" max="17" width="31.13"/>
    <col customWidth="1" min="18" max="26" width="8.63"/>
  </cols>
  <sheetData>
    <row r="1" ht="25.5" customHeight="1">
      <c r="A1" s="1" t="s">
        <v>606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2.5" customHeight="1">
      <c r="A2" s="4" t="s">
        <v>607</v>
      </c>
    </row>
    <row r="3" ht="19.5" customHeight="1">
      <c r="A3" s="7" t="s">
        <v>8</v>
      </c>
    </row>
    <row r="4" ht="39.0" customHeight="1">
      <c r="A4" s="10" t="s">
        <v>608</v>
      </c>
      <c r="B4" s="10" t="s">
        <v>434</v>
      </c>
      <c r="C4" s="10" t="s">
        <v>609</v>
      </c>
      <c r="D4" s="10" t="s">
        <v>610</v>
      </c>
      <c r="E4" s="10" t="s">
        <v>586</v>
      </c>
      <c r="F4" s="13" t="s">
        <v>611</v>
      </c>
      <c r="G4" s="13" t="s">
        <v>612</v>
      </c>
      <c r="H4" s="13" t="s">
        <v>613</v>
      </c>
      <c r="I4" s="13" t="s">
        <v>614</v>
      </c>
      <c r="J4" s="13" t="s">
        <v>587</v>
      </c>
      <c r="K4" s="10" t="s">
        <v>438</v>
      </c>
      <c r="L4" s="10" t="s">
        <v>545</v>
      </c>
      <c r="M4" s="10" t="s">
        <v>36</v>
      </c>
      <c r="N4" s="10" t="s">
        <v>38</v>
      </c>
      <c r="O4" s="10" t="s">
        <v>40</v>
      </c>
      <c r="P4" s="13" t="s">
        <v>44</v>
      </c>
      <c r="Q4" s="13" t="s">
        <v>52</v>
      </c>
    </row>
    <row r="5">
      <c r="A5" s="23"/>
      <c r="B5" s="23"/>
      <c r="C5" s="23"/>
      <c r="F5" s="23"/>
      <c r="J5" s="23"/>
      <c r="K5" s="23"/>
      <c r="L5" s="23"/>
      <c r="M5" s="23"/>
      <c r="N5" s="23"/>
      <c r="O5" s="24"/>
      <c r="P5" s="24"/>
    </row>
    <row r="6">
      <c r="A6" s="23"/>
      <c r="B6" s="23"/>
      <c r="C6" s="23"/>
      <c r="F6" s="23"/>
      <c r="J6" s="23"/>
      <c r="K6" s="23"/>
      <c r="L6" s="23"/>
      <c r="M6" s="23"/>
      <c r="N6" s="23"/>
      <c r="O6" s="24"/>
      <c r="P6" s="24"/>
    </row>
    <row r="7">
      <c r="A7" s="23"/>
      <c r="B7" s="23"/>
      <c r="C7" s="23"/>
      <c r="F7" s="23"/>
      <c r="J7" s="23"/>
      <c r="K7" s="23"/>
      <c r="L7" s="23"/>
      <c r="M7" s="23"/>
      <c r="N7" s="23"/>
      <c r="O7" s="24"/>
      <c r="P7" s="24"/>
    </row>
    <row r="8">
      <c r="A8" s="23"/>
      <c r="B8" s="23"/>
      <c r="C8" s="23"/>
      <c r="F8" s="23"/>
      <c r="J8" s="23"/>
      <c r="K8" s="23"/>
      <c r="L8" s="23"/>
      <c r="M8" s="23"/>
      <c r="N8" s="23"/>
      <c r="O8" s="24"/>
      <c r="P8" s="24"/>
    </row>
    <row r="9">
      <c r="A9" s="23"/>
      <c r="B9" s="23"/>
      <c r="C9" s="23"/>
      <c r="F9" s="23"/>
      <c r="J9" s="23"/>
      <c r="K9" s="23"/>
      <c r="L9" s="23"/>
      <c r="M9" s="23"/>
      <c r="N9" s="23"/>
      <c r="O9" s="24"/>
      <c r="P9" s="24"/>
    </row>
    <row r="10">
      <c r="A10" s="23"/>
      <c r="B10" s="23"/>
      <c r="C10" s="23"/>
      <c r="F10" s="23"/>
      <c r="J10" s="23"/>
      <c r="K10" s="23"/>
      <c r="L10" s="23"/>
      <c r="M10" s="23"/>
      <c r="N10" s="23"/>
      <c r="O10" s="24"/>
      <c r="P10" s="24"/>
    </row>
    <row r="11">
      <c r="A11" s="23"/>
      <c r="B11" s="23"/>
      <c r="C11" s="23"/>
      <c r="F11" s="23"/>
      <c r="J11" s="23"/>
      <c r="K11" s="23"/>
      <c r="L11" s="23"/>
      <c r="M11" s="23"/>
      <c r="N11" s="23"/>
      <c r="O11" s="24"/>
      <c r="P11" s="24"/>
    </row>
    <row r="12">
      <c r="A12" s="23"/>
      <c r="B12" s="23"/>
      <c r="C12" s="23"/>
      <c r="F12" s="23"/>
      <c r="J12" s="23"/>
      <c r="K12" s="23"/>
      <c r="L12" s="23"/>
      <c r="M12" s="23"/>
      <c r="N12" s="23"/>
      <c r="O12" s="24"/>
      <c r="P12" s="24"/>
    </row>
    <row r="13">
      <c r="A13" s="23"/>
      <c r="B13" s="23"/>
      <c r="C13" s="23"/>
      <c r="F13" s="23"/>
      <c r="J13" s="23"/>
      <c r="K13" s="23"/>
      <c r="L13" s="23"/>
      <c r="M13" s="23"/>
      <c r="N13" s="23"/>
      <c r="O13" s="24"/>
      <c r="P13" s="24"/>
    </row>
    <row r="14">
      <c r="A14" s="23"/>
      <c r="B14" s="23"/>
      <c r="C14" s="23"/>
      <c r="F14" s="23"/>
      <c r="J14" s="23"/>
      <c r="K14" s="23"/>
      <c r="L14" s="23"/>
      <c r="M14" s="23"/>
      <c r="N14" s="23"/>
      <c r="O14" s="24"/>
      <c r="P14" s="24"/>
    </row>
    <row r="15">
      <c r="A15" s="23"/>
      <c r="B15" s="23"/>
      <c r="C15" s="23"/>
      <c r="F15" s="23"/>
      <c r="J15" s="23"/>
      <c r="K15" s="23"/>
      <c r="L15" s="23"/>
      <c r="M15" s="23"/>
      <c r="N15" s="23"/>
      <c r="O15" s="24"/>
      <c r="P15" s="24"/>
    </row>
    <row r="16">
      <c r="A16" s="23"/>
      <c r="B16" s="23"/>
      <c r="C16" s="23"/>
      <c r="F16" s="23"/>
      <c r="J16" s="23"/>
      <c r="K16" s="23"/>
      <c r="L16" s="23"/>
      <c r="M16" s="23"/>
      <c r="N16" s="23"/>
      <c r="O16" s="24"/>
      <c r="P16" s="24"/>
    </row>
    <row r="17">
      <c r="A17" s="23"/>
      <c r="B17" s="23"/>
      <c r="C17" s="23"/>
      <c r="F17" s="23"/>
      <c r="J17" s="23"/>
      <c r="K17" s="23"/>
      <c r="L17" s="23"/>
      <c r="M17" s="23"/>
      <c r="N17" s="23"/>
      <c r="O17" s="24"/>
      <c r="P17" s="24"/>
    </row>
    <row r="18">
      <c r="A18" s="23"/>
      <c r="B18" s="23"/>
      <c r="C18" s="23"/>
      <c r="F18" s="23"/>
      <c r="J18" s="23"/>
      <c r="K18" s="23"/>
      <c r="L18" s="23"/>
      <c r="M18" s="23"/>
      <c r="N18" s="23"/>
      <c r="O18" s="24"/>
      <c r="P18" s="24"/>
    </row>
    <row r="19">
      <c r="A19" s="23"/>
      <c r="B19" s="23"/>
      <c r="C19" s="23"/>
      <c r="F19" s="23"/>
      <c r="J19" s="23"/>
      <c r="K19" s="23"/>
      <c r="L19" s="23"/>
      <c r="M19" s="23"/>
      <c r="N19" s="23"/>
      <c r="O19" s="24"/>
      <c r="P19" s="24"/>
    </row>
    <row r="20">
      <c r="A20" s="23"/>
      <c r="B20" s="23"/>
      <c r="C20" s="23"/>
      <c r="F20" s="23"/>
      <c r="J20" s="23"/>
      <c r="K20" s="23"/>
      <c r="L20" s="23"/>
      <c r="M20" s="23"/>
      <c r="N20" s="23"/>
      <c r="O20" s="24"/>
      <c r="P20" s="24"/>
    </row>
    <row r="21" ht="15.75" customHeight="1">
      <c r="A21" s="23"/>
      <c r="B21" s="23"/>
      <c r="C21" s="23"/>
      <c r="F21" s="23"/>
      <c r="J21" s="23"/>
      <c r="K21" s="23"/>
      <c r="L21" s="23"/>
      <c r="M21" s="23"/>
      <c r="N21" s="23"/>
      <c r="O21" s="24"/>
      <c r="P21" s="24"/>
    </row>
    <row r="22" ht="15.75" customHeight="1">
      <c r="A22" s="23"/>
      <c r="B22" s="23"/>
      <c r="C22" s="23"/>
      <c r="F22" s="23"/>
      <c r="J22" s="23"/>
      <c r="K22" s="23"/>
      <c r="L22" s="23"/>
      <c r="M22" s="23"/>
      <c r="N22" s="23"/>
      <c r="O22" s="24"/>
      <c r="P22" s="24"/>
    </row>
    <row r="23" ht="15.75" customHeight="1">
      <c r="A23" s="23"/>
      <c r="B23" s="23"/>
      <c r="C23" s="23"/>
      <c r="F23" s="23"/>
      <c r="J23" s="23"/>
      <c r="K23" s="23"/>
      <c r="L23" s="23"/>
      <c r="M23" s="23"/>
      <c r="N23" s="23"/>
      <c r="O23" s="24"/>
      <c r="P23" s="24"/>
    </row>
    <row r="24" ht="15.75" customHeight="1">
      <c r="A24" s="23"/>
      <c r="B24" s="23"/>
      <c r="C24" s="23"/>
      <c r="F24" s="23"/>
      <c r="J24" s="23"/>
      <c r="K24" s="23"/>
      <c r="L24" s="23"/>
      <c r="M24" s="23"/>
      <c r="N24" s="23"/>
      <c r="O24" s="24"/>
      <c r="P24" s="24"/>
    </row>
    <row r="25" ht="15.75" customHeight="1">
      <c r="A25" s="23"/>
      <c r="B25" s="23"/>
      <c r="C25" s="23"/>
      <c r="F25" s="23"/>
      <c r="J25" s="23"/>
      <c r="K25" s="23"/>
      <c r="L25" s="23"/>
      <c r="M25" s="23"/>
      <c r="N25" s="23"/>
      <c r="O25" s="24"/>
      <c r="P25" s="24"/>
    </row>
    <row r="26" ht="15.75" customHeight="1">
      <c r="A26" s="23"/>
      <c r="B26" s="23"/>
      <c r="C26" s="23"/>
      <c r="F26" s="23"/>
      <c r="J26" s="23"/>
      <c r="K26" s="23"/>
      <c r="L26" s="23"/>
      <c r="M26" s="23"/>
      <c r="N26" s="23"/>
      <c r="O26" s="24"/>
      <c r="P26" s="24"/>
    </row>
    <row r="27" ht="15.75" customHeight="1">
      <c r="A27" s="23"/>
      <c r="B27" s="23"/>
      <c r="C27" s="23"/>
      <c r="F27" s="23"/>
      <c r="J27" s="23"/>
      <c r="K27" s="23"/>
      <c r="L27" s="23"/>
      <c r="M27" s="23"/>
      <c r="N27" s="23"/>
      <c r="O27" s="24"/>
      <c r="P27" s="24"/>
    </row>
    <row r="28" ht="15.75" customHeight="1">
      <c r="A28" s="23"/>
      <c r="B28" s="23"/>
      <c r="C28" s="23"/>
      <c r="F28" s="23"/>
      <c r="J28" s="23"/>
      <c r="K28" s="23"/>
      <c r="L28" s="23"/>
      <c r="M28" s="23"/>
      <c r="N28" s="23"/>
      <c r="O28" s="24"/>
      <c r="P28" s="24"/>
    </row>
    <row r="29" ht="15.75" customHeight="1">
      <c r="A29" s="23"/>
      <c r="B29" s="23"/>
      <c r="C29" s="23"/>
      <c r="F29" s="23"/>
      <c r="J29" s="23"/>
      <c r="K29" s="23"/>
      <c r="L29" s="23"/>
      <c r="M29" s="23"/>
      <c r="N29" s="23"/>
      <c r="O29" s="24"/>
      <c r="P29" s="24"/>
    </row>
    <row r="30" ht="15.75" customHeight="1">
      <c r="A30" s="23"/>
      <c r="B30" s="23"/>
      <c r="C30" s="23"/>
      <c r="F30" s="23"/>
      <c r="J30" s="23"/>
      <c r="K30" s="23"/>
      <c r="L30" s="23"/>
      <c r="M30" s="23"/>
      <c r="N30" s="23"/>
      <c r="O30" s="24"/>
      <c r="P30" s="24"/>
    </row>
    <row r="31" ht="15.75" customHeight="1">
      <c r="A31" s="23"/>
      <c r="B31" s="23"/>
      <c r="C31" s="23"/>
      <c r="F31" s="23"/>
      <c r="J31" s="23"/>
      <c r="K31" s="23"/>
      <c r="L31" s="23"/>
      <c r="M31" s="23"/>
      <c r="N31" s="23"/>
      <c r="O31" s="24"/>
      <c r="P31" s="24"/>
    </row>
    <row r="32" ht="15.75" customHeight="1">
      <c r="A32" s="23"/>
      <c r="B32" s="23"/>
      <c r="C32" s="23"/>
      <c r="F32" s="23"/>
      <c r="J32" s="23"/>
      <c r="K32" s="23"/>
      <c r="L32" s="23"/>
      <c r="M32" s="23"/>
      <c r="N32" s="23"/>
      <c r="O32" s="24"/>
      <c r="P32" s="24"/>
    </row>
    <row r="33" ht="15.75" customHeight="1">
      <c r="A33" s="23"/>
      <c r="B33" s="23"/>
      <c r="C33" s="23"/>
      <c r="F33" s="23"/>
      <c r="J33" s="23"/>
      <c r="K33" s="23"/>
      <c r="L33" s="23"/>
      <c r="M33" s="23"/>
      <c r="N33" s="23"/>
      <c r="O33" s="24"/>
      <c r="P33" s="24"/>
    </row>
    <row r="34" ht="15.75" customHeight="1">
      <c r="A34" s="23"/>
      <c r="B34" s="23"/>
      <c r="C34" s="23"/>
      <c r="F34" s="23"/>
      <c r="J34" s="23"/>
      <c r="K34" s="23"/>
      <c r="L34" s="23"/>
      <c r="M34" s="23"/>
      <c r="N34" s="23"/>
      <c r="O34" s="24"/>
      <c r="P34" s="24"/>
    </row>
    <row r="35" ht="15.75" customHeight="1">
      <c r="A35" s="23"/>
      <c r="B35" s="23"/>
      <c r="C35" s="23"/>
      <c r="F35" s="23"/>
      <c r="J35" s="23"/>
      <c r="K35" s="23"/>
      <c r="L35" s="23"/>
      <c r="M35" s="23"/>
      <c r="N35" s="23"/>
      <c r="O35" s="24"/>
      <c r="P35" s="24"/>
    </row>
    <row r="36" ht="15.75" customHeight="1">
      <c r="A36" s="23"/>
      <c r="B36" s="23"/>
      <c r="C36" s="23"/>
      <c r="F36" s="23"/>
      <c r="J36" s="23"/>
      <c r="K36" s="23"/>
      <c r="L36" s="23"/>
      <c r="M36" s="23"/>
      <c r="N36" s="23"/>
      <c r="O36" s="24"/>
      <c r="P36" s="24"/>
    </row>
    <row r="37" ht="15.75" customHeight="1">
      <c r="A37" s="23"/>
      <c r="B37" s="23"/>
      <c r="C37" s="23"/>
      <c r="F37" s="23"/>
      <c r="J37" s="23"/>
      <c r="K37" s="23"/>
      <c r="L37" s="23"/>
      <c r="M37" s="23"/>
      <c r="N37" s="23"/>
      <c r="O37" s="24"/>
      <c r="P37" s="24"/>
    </row>
    <row r="38" ht="15.75" customHeight="1">
      <c r="A38" s="23"/>
      <c r="B38" s="23"/>
      <c r="C38" s="23"/>
      <c r="F38" s="23"/>
      <c r="J38" s="23"/>
      <c r="K38" s="23"/>
      <c r="L38" s="23"/>
      <c r="M38" s="23"/>
      <c r="N38" s="23"/>
      <c r="O38" s="24"/>
      <c r="P38" s="24"/>
    </row>
    <row r="39" ht="15.75" customHeight="1">
      <c r="A39" s="23"/>
      <c r="B39" s="23"/>
      <c r="C39" s="23"/>
      <c r="F39" s="23"/>
      <c r="J39" s="23"/>
      <c r="K39" s="23"/>
      <c r="L39" s="23"/>
      <c r="M39" s="23"/>
      <c r="N39" s="23"/>
      <c r="O39" s="24"/>
      <c r="P39" s="24"/>
    </row>
    <row r="40" ht="15.75" customHeight="1">
      <c r="A40" s="23"/>
      <c r="B40" s="23"/>
      <c r="C40" s="23"/>
      <c r="F40" s="23"/>
      <c r="J40" s="23"/>
      <c r="K40" s="23"/>
      <c r="L40" s="23"/>
      <c r="M40" s="23"/>
      <c r="N40" s="23"/>
      <c r="O40" s="24"/>
      <c r="P40" s="24"/>
    </row>
    <row r="41" ht="15.75" customHeight="1">
      <c r="A41" s="23"/>
      <c r="B41" s="23"/>
      <c r="C41" s="23"/>
      <c r="F41" s="23"/>
      <c r="J41" s="23"/>
      <c r="K41" s="23"/>
      <c r="L41" s="23"/>
      <c r="M41" s="23"/>
      <c r="N41" s="23"/>
      <c r="O41" s="24"/>
      <c r="P41" s="24"/>
    </row>
    <row r="42" ht="15.75" customHeight="1">
      <c r="A42" s="23"/>
      <c r="B42" s="23"/>
      <c r="C42" s="23"/>
      <c r="F42" s="23"/>
      <c r="J42" s="23"/>
      <c r="K42" s="23"/>
      <c r="L42" s="23"/>
      <c r="M42" s="23"/>
      <c r="N42" s="23"/>
      <c r="O42" s="24"/>
      <c r="P42" s="24"/>
    </row>
    <row r="43" ht="15.75" customHeight="1">
      <c r="A43" s="23"/>
      <c r="B43" s="23"/>
      <c r="C43" s="23"/>
      <c r="F43" s="23"/>
      <c r="J43" s="23"/>
      <c r="K43" s="23"/>
      <c r="L43" s="23"/>
      <c r="M43" s="23"/>
      <c r="N43" s="23"/>
      <c r="O43" s="24"/>
      <c r="P43" s="24"/>
    </row>
    <row r="44" ht="15.75" customHeight="1">
      <c r="A44" s="23"/>
      <c r="B44" s="23"/>
      <c r="C44" s="23"/>
      <c r="F44" s="23"/>
      <c r="J44" s="23"/>
      <c r="K44" s="23"/>
      <c r="L44" s="23"/>
      <c r="M44" s="23"/>
      <c r="N44" s="23"/>
      <c r="O44" s="24"/>
      <c r="P44" s="24"/>
    </row>
    <row r="45" ht="15.75" customHeight="1">
      <c r="A45" s="23"/>
      <c r="B45" s="23"/>
      <c r="C45" s="23"/>
      <c r="F45" s="23"/>
      <c r="J45" s="23"/>
      <c r="K45" s="23"/>
      <c r="L45" s="23"/>
      <c r="M45" s="23"/>
      <c r="N45" s="23"/>
      <c r="O45" s="24"/>
      <c r="P45" s="24"/>
    </row>
    <row r="46" ht="15.75" customHeight="1">
      <c r="A46" s="23"/>
      <c r="B46" s="23"/>
      <c r="C46" s="23"/>
      <c r="F46" s="23"/>
      <c r="J46" s="23"/>
      <c r="K46" s="23"/>
      <c r="L46" s="23"/>
      <c r="M46" s="23"/>
      <c r="N46" s="23"/>
      <c r="O46" s="24"/>
      <c r="P46" s="24"/>
    </row>
    <row r="47" ht="15.75" customHeight="1">
      <c r="A47" s="23"/>
      <c r="B47" s="23"/>
      <c r="C47" s="23"/>
      <c r="F47" s="23"/>
      <c r="J47" s="23"/>
      <c r="K47" s="23"/>
      <c r="L47" s="23"/>
      <c r="M47" s="23"/>
      <c r="N47" s="23"/>
      <c r="O47" s="24"/>
      <c r="P47" s="24"/>
    </row>
    <row r="48" ht="15.75" customHeight="1">
      <c r="A48" s="23"/>
      <c r="B48" s="23"/>
      <c r="C48" s="23"/>
      <c r="F48" s="23"/>
      <c r="J48" s="23"/>
      <c r="K48" s="23"/>
      <c r="L48" s="23"/>
      <c r="M48" s="23"/>
      <c r="N48" s="23"/>
      <c r="O48" s="24"/>
      <c r="P48" s="24"/>
    </row>
    <row r="49" ht="15.75" customHeight="1">
      <c r="A49" s="23"/>
      <c r="B49" s="23"/>
      <c r="C49" s="23"/>
      <c r="F49" s="23"/>
      <c r="J49" s="23"/>
      <c r="K49" s="23"/>
      <c r="L49" s="23"/>
      <c r="M49" s="23"/>
      <c r="N49" s="23"/>
      <c r="O49" s="24"/>
      <c r="P49" s="24"/>
    </row>
    <row r="50" ht="15.75" customHeight="1">
      <c r="A50" s="23"/>
      <c r="B50" s="23"/>
      <c r="C50" s="23"/>
      <c r="F50" s="23"/>
      <c r="J50" s="23"/>
      <c r="K50" s="23"/>
      <c r="L50" s="23"/>
      <c r="M50" s="23"/>
      <c r="N50" s="23"/>
      <c r="O50" s="24"/>
      <c r="P50" s="24"/>
    </row>
    <row r="51" ht="15.75" customHeight="1">
      <c r="A51" s="23"/>
      <c r="B51" s="23"/>
      <c r="C51" s="23"/>
      <c r="F51" s="23"/>
      <c r="J51" s="23"/>
      <c r="K51" s="23"/>
      <c r="L51" s="23"/>
      <c r="M51" s="23"/>
      <c r="N51" s="23"/>
      <c r="O51" s="24"/>
      <c r="P51" s="24"/>
    </row>
    <row r="52" ht="15.75" customHeight="1">
      <c r="A52" s="23"/>
      <c r="B52" s="23"/>
      <c r="C52" s="23"/>
      <c r="F52" s="23"/>
      <c r="J52" s="23"/>
      <c r="K52" s="23"/>
      <c r="L52" s="23"/>
      <c r="M52" s="23"/>
      <c r="N52" s="23"/>
      <c r="O52" s="24"/>
      <c r="P52" s="24"/>
    </row>
    <row r="53" ht="15.75" customHeight="1">
      <c r="A53" s="23"/>
      <c r="B53" s="23"/>
      <c r="C53" s="23"/>
      <c r="F53" s="23"/>
      <c r="J53" s="23"/>
      <c r="K53" s="23"/>
      <c r="L53" s="23"/>
      <c r="M53" s="23"/>
      <c r="N53" s="23"/>
      <c r="O53" s="24"/>
      <c r="P53" s="24"/>
    </row>
    <row r="54" ht="15.75" customHeight="1">
      <c r="A54" s="23"/>
      <c r="B54" s="23"/>
      <c r="C54" s="23"/>
      <c r="F54" s="23"/>
      <c r="J54" s="23"/>
      <c r="K54" s="23"/>
      <c r="L54" s="23"/>
      <c r="M54" s="23"/>
      <c r="N54" s="23"/>
      <c r="O54" s="24"/>
      <c r="P54" s="24"/>
    </row>
    <row r="55" ht="15.75" customHeight="1">
      <c r="A55" s="23"/>
      <c r="B55" s="23"/>
      <c r="C55" s="23"/>
      <c r="F55" s="23"/>
      <c r="J55" s="23"/>
      <c r="K55" s="23"/>
      <c r="L55" s="23"/>
      <c r="M55" s="23"/>
      <c r="N55" s="23"/>
      <c r="O55" s="24"/>
      <c r="P55" s="24"/>
    </row>
    <row r="56" ht="15.75" customHeight="1">
      <c r="A56" s="23"/>
      <c r="B56" s="23"/>
      <c r="C56" s="23"/>
      <c r="F56" s="23"/>
      <c r="J56" s="23"/>
      <c r="K56" s="23"/>
      <c r="L56" s="23"/>
      <c r="M56" s="23"/>
      <c r="N56" s="23"/>
      <c r="O56" s="24"/>
      <c r="P56" s="24"/>
    </row>
    <row r="57" ht="15.75" customHeight="1">
      <c r="A57" s="23"/>
      <c r="B57" s="23"/>
      <c r="C57" s="23"/>
      <c r="F57" s="23"/>
      <c r="J57" s="23"/>
      <c r="K57" s="23"/>
      <c r="L57" s="23"/>
      <c r="M57" s="23"/>
      <c r="N57" s="23"/>
      <c r="O57" s="24"/>
      <c r="P57" s="24"/>
    </row>
    <row r="58" ht="15.75" customHeight="1">
      <c r="A58" s="23"/>
      <c r="B58" s="23"/>
      <c r="C58" s="23"/>
      <c r="F58" s="23"/>
      <c r="J58" s="23"/>
      <c r="K58" s="23"/>
      <c r="L58" s="23"/>
      <c r="M58" s="23"/>
      <c r="N58" s="23"/>
      <c r="O58" s="24"/>
      <c r="P58" s="24"/>
    </row>
    <row r="59" ht="15.75" customHeight="1">
      <c r="A59" s="23"/>
      <c r="B59" s="23"/>
      <c r="C59" s="23"/>
      <c r="F59" s="23"/>
      <c r="J59" s="23"/>
      <c r="K59" s="23"/>
      <c r="L59" s="23"/>
      <c r="M59" s="23"/>
      <c r="N59" s="23"/>
      <c r="O59" s="24"/>
      <c r="P59" s="24"/>
    </row>
    <row r="60" ht="15.75" customHeight="1">
      <c r="A60" s="23"/>
      <c r="B60" s="23"/>
      <c r="C60" s="23"/>
      <c r="F60" s="23"/>
      <c r="J60" s="23"/>
      <c r="K60" s="23"/>
      <c r="L60" s="23"/>
      <c r="M60" s="23"/>
      <c r="N60" s="23"/>
      <c r="O60" s="24"/>
      <c r="P60" s="24"/>
    </row>
    <row r="61" ht="15.75" customHeight="1">
      <c r="A61" s="23"/>
      <c r="B61" s="23"/>
      <c r="C61" s="23"/>
      <c r="F61" s="23"/>
      <c r="J61" s="23"/>
      <c r="K61" s="23"/>
      <c r="L61" s="23"/>
      <c r="M61" s="23"/>
      <c r="N61" s="23"/>
      <c r="O61" s="24"/>
      <c r="P61" s="24"/>
    </row>
    <row r="62" ht="15.75" customHeight="1">
      <c r="A62" s="23"/>
      <c r="B62" s="23"/>
      <c r="C62" s="23"/>
      <c r="F62" s="23"/>
      <c r="J62" s="23"/>
      <c r="K62" s="23"/>
      <c r="L62" s="23"/>
      <c r="M62" s="23"/>
      <c r="N62" s="23"/>
      <c r="O62" s="24"/>
      <c r="P62" s="24"/>
    </row>
    <row r="63" ht="15.75" customHeight="1">
      <c r="A63" s="23"/>
      <c r="B63" s="23"/>
      <c r="C63" s="23"/>
      <c r="F63" s="23"/>
      <c r="J63" s="23"/>
      <c r="K63" s="23"/>
      <c r="L63" s="23"/>
      <c r="M63" s="23"/>
      <c r="N63" s="23"/>
      <c r="O63" s="24"/>
      <c r="P63" s="24"/>
    </row>
    <row r="64" ht="15.75" customHeight="1">
      <c r="A64" s="23"/>
      <c r="B64" s="23"/>
      <c r="C64" s="23"/>
      <c r="F64" s="23"/>
      <c r="J64" s="23"/>
      <c r="K64" s="23"/>
      <c r="L64" s="23"/>
      <c r="M64" s="23"/>
      <c r="N64" s="23"/>
      <c r="O64" s="24"/>
      <c r="P64" s="24"/>
    </row>
    <row r="65" ht="15.75" customHeight="1">
      <c r="A65" s="23"/>
      <c r="B65" s="23"/>
      <c r="C65" s="23"/>
      <c r="F65" s="23"/>
      <c r="J65" s="23"/>
      <c r="K65" s="23"/>
      <c r="L65" s="23"/>
      <c r="M65" s="23"/>
      <c r="N65" s="23"/>
      <c r="O65" s="24"/>
      <c r="P65" s="24"/>
    </row>
    <row r="66" ht="15.75" customHeight="1">
      <c r="A66" s="23"/>
      <c r="B66" s="23"/>
      <c r="C66" s="23"/>
      <c r="F66" s="23"/>
      <c r="J66" s="23"/>
      <c r="K66" s="23"/>
      <c r="L66" s="23"/>
      <c r="M66" s="23"/>
      <c r="N66" s="23"/>
      <c r="O66" s="24"/>
      <c r="P66" s="24"/>
    </row>
    <row r="67" ht="15.75" customHeight="1">
      <c r="A67" s="23"/>
      <c r="B67" s="23"/>
      <c r="C67" s="23"/>
      <c r="F67" s="23"/>
      <c r="J67" s="23"/>
      <c r="K67" s="23"/>
      <c r="L67" s="23"/>
      <c r="M67" s="23"/>
      <c r="N67" s="23"/>
      <c r="O67" s="24"/>
      <c r="P67" s="24"/>
    </row>
    <row r="68" ht="15.75" customHeight="1">
      <c r="A68" s="23"/>
      <c r="B68" s="23"/>
      <c r="C68" s="23"/>
      <c r="F68" s="23"/>
      <c r="J68" s="23"/>
      <c r="K68" s="23"/>
      <c r="L68" s="23"/>
      <c r="M68" s="23"/>
      <c r="N68" s="23"/>
      <c r="O68" s="24"/>
      <c r="P68" s="24"/>
    </row>
    <row r="69" ht="15.75" customHeight="1">
      <c r="A69" s="23"/>
      <c r="B69" s="23"/>
      <c r="C69" s="23"/>
      <c r="F69" s="23"/>
      <c r="J69" s="23"/>
      <c r="K69" s="23"/>
      <c r="L69" s="23"/>
      <c r="M69" s="23"/>
      <c r="N69" s="23"/>
      <c r="O69" s="24"/>
      <c r="P69" s="24"/>
    </row>
    <row r="70" ht="15.75" customHeight="1">
      <c r="A70" s="23"/>
      <c r="B70" s="23"/>
      <c r="C70" s="23"/>
      <c r="F70" s="23"/>
      <c r="J70" s="23"/>
      <c r="K70" s="23"/>
      <c r="L70" s="23"/>
      <c r="M70" s="23"/>
      <c r="N70" s="23"/>
      <c r="O70" s="24"/>
      <c r="P70" s="24"/>
    </row>
    <row r="71" ht="15.75" customHeight="1">
      <c r="A71" s="23"/>
      <c r="B71" s="23"/>
      <c r="C71" s="23"/>
      <c r="F71" s="23"/>
      <c r="J71" s="23"/>
      <c r="K71" s="23"/>
      <c r="L71" s="23"/>
      <c r="M71" s="23"/>
      <c r="N71" s="23"/>
      <c r="O71" s="24"/>
      <c r="P71" s="24"/>
    </row>
    <row r="72" ht="15.75" customHeight="1">
      <c r="A72" s="23"/>
      <c r="B72" s="23"/>
      <c r="C72" s="23"/>
      <c r="F72" s="23"/>
      <c r="J72" s="23"/>
      <c r="K72" s="23"/>
      <c r="L72" s="23"/>
      <c r="M72" s="23"/>
      <c r="N72" s="23"/>
      <c r="O72" s="24"/>
      <c r="P72" s="24"/>
    </row>
    <row r="73" ht="15.75" customHeight="1">
      <c r="A73" s="23"/>
      <c r="B73" s="23"/>
      <c r="C73" s="23"/>
      <c r="F73" s="23"/>
      <c r="J73" s="23"/>
      <c r="K73" s="23"/>
      <c r="L73" s="23"/>
      <c r="M73" s="23"/>
      <c r="N73" s="23"/>
      <c r="O73" s="24"/>
      <c r="P73" s="24"/>
    </row>
    <row r="74" ht="15.75" customHeight="1">
      <c r="A74" s="23"/>
      <c r="B74" s="23"/>
      <c r="C74" s="23"/>
      <c r="F74" s="23"/>
      <c r="J74" s="23"/>
      <c r="K74" s="23"/>
      <c r="L74" s="23"/>
      <c r="M74" s="23"/>
      <c r="N74" s="23"/>
      <c r="O74" s="24"/>
      <c r="P74" s="24"/>
    </row>
    <row r="75" ht="15.75" customHeight="1">
      <c r="A75" s="23"/>
      <c r="B75" s="23"/>
      <c r="C75" s="23"/>
      <c r="F75" s="23"/>
      <c r="J75" s="23"/>
      <c r="K75" s="23"/>
      <c r="L75" s="23"/>
      <c r="M75" s="23"/>
      <c r="N75" s="23"/>
      <c r="O75" s="24"/>
      <c r="P75" s="24"/>
    </row>
    <row r="76" ht="15.75" customHeight="1">
      <c r="A76" s="23"/>
      <c r="B76" s="23"/>
      <c r="C76" s="23"/>
      <c r="F76" s="23"/>
      <c r="J76" s="23"/>
      <c r="K76" s="23"/>
      <c r="L76" s="23"/>
      <c r="M76" s="23"/>
      <c r="N76" s="23"/>
      <c r="O76" s="24"/>
      <c r="P76" s="24"/>
    </row>
    <row r="77" ht="15.75" customHeight="1">
      <c r="A77" s="23"/>
      <c r="B77" s="23"/>
      <c r="C77" s="23"/>
      <c r="F77" s="23"/>
      <c r="J77" s="23"/>
      <c r="K77" s="23"/>
      <c r="L77" s="23"/>
      <c r="M77" s="23"/>
      <c r="N77" s="23"/>
      <c r="O77" s="24"/>
      <c r="P77" s="24"/>
    </row>
    <row r="78" ht="15.75" customHeight="1">
      <c r="A78" s="23"/>
      <c r="B78" s="23"/>
      <c r="C78" s="23"/>
      <c r="F78" s="23"/>
      <c r="J78" s="23"/>
      <c r="K78" s="23"/>
      <c r="L78" s="23"/>
      <c r="M78" s="23"/>
      <c r="N78" s="23"/>
      <c r="O78" s="24"/>
      <c r="P78" s="24"/>
    </row>
    <row r="79" ht="15.75" customHeight="1">
      <c r="A79" s="23"/>
      <c r="B79" s="23"/>
      <c r="C79" s="23"/>
      <c r="F79" s="23"/>
      <c r="J79" s="23"/>
      <c r="K79" s="23"/>
      <c r="L79" s="23"/>
      <c r="M79" s="23"/>
      <c r="N79" s="23"/>
      <c r="O79" s="24"/>
      <c r="P79" s="24"/>
    </row>
    <row r="80" ht="15.75" customHeight="1">
      <c r="A80" s="23"/>
      <c r="B80" s="23"/>
      <c r="C80" s="23"/>
      <c r="F80" s="23"/>
      <c r="J80" s="23"/>
      <c r="K80" s="23"/>
      <c r="L80" s="23"/>
      <c r="M80" s="23"/>
      <c r="N80" s="23"/>
      <c r="O80" s="24"/>
      <c r="P80" s="24"/>
    </row>
    <row r="81" ht="15.75" customHeight="1">
      <c r="A81" s="23"/>
      <c r="B81" s="23"/>
      <c r="C81" s="23"/>
      <c r="F81" s="23"/>
      <c r="J81" s="23"/>
      <c r="K81" s="23"/>
      <c r="L81" s="23"/>
      <c r="M81" s="23"/>
      <c r="N81" s="23"/>
      <c r="O81" s="24"/>
      <c r="P81" s="24"/>
    </row>
    <row r="82" ht="15.75" customHeight="1">
      <c r="A82" s="23"/>
      <c r="B82" s="23"/>
      <c r="C82" s="23"/>
      <c r="F82" s="23"/>
      <c r="J82" s="23"/>
      <c r="K82" s="23"/>
      <c r="L82" s="23"/>
      <c r="M82" s="23"/>
      <c r="N82" s="23"/>
      <c r="O82" s="24"/>
      <c r="P82" s="24"/>
    </row>
    <row r="83" ht="15.75" customHeight="1">
      <c r="A83" s="23"/>
      <c r="B83" s="23"/>
      <c r="C83" s="23"/>
      <c r="F83" s="23"/>
      <c r="J83" s="23"/>
      <c r="K83" s="23"/>
      <c r="L83" s="23"/>
      <c r="M83" s="23"/>
      <c r="N83" s="23"/>
      <c r="O83" s="24"/>
      <c r="P83" s="24"/>
    </row>
    <row r="84" ht="15.75" customHeight="1">
      <c r="A84" s="23"/>
      <c r="B84" s="23"/>
      <c r="C84" s="23"/>
      <c r="F84" s="23"/>
      <c r="J84" s="23"/>
      <c r="K84" s="23"/>
      <c r="L84" s="23"/>
      <c r="M84" s="23"/>
      <c r="N84" s="23"/>
      <c r="O84" s="24"/>
      <c r="P84" s="24"/>
    </row>
    <row r="85" ht="15.75" customHeight="1">
      <c r="A85" s="23"/>
      <c r="B85" s="23"/>
      <c r="C85" s="23"/>
      <c r="F85" s="23"/>
      <c r="J85" s="23"/>
      <c r="K85" s="23"/>
      <c r="L85" s="23"/>
      <c r="M85" s="23"/>
      <c r="N85" s="23"/>
      <c r="O85" s="24"/>
      <c r="P85" s="24"/>
    </row>
    <row r="86" ht="15.75" customHeight="1">
      <c r="A86" s="23"/>
      <c r="B86" s="23"/>
      <c r="C86" s="23"/>
      <c r="F86" s="23"/>
      <c r="J86" s="23"/>
      <c r="K86" s="23"/>
      <c r="L86" s="23"/>
      <c r="M86" s="23"/>
      <c r="N86" s="23"/>
      <c r="O86" s="24"/>
      <c r="P86" s="24"/>
    </row>
    <row r="87" ht="15.75" customHeight="1">
      <c r="A87" s="23"/>
      <c r="B87" s="23"/>
      <c r="C87" s="23"/>
      <c r="F87" s="23"/>
      <c r="J87" s="23"/>
      <c r="K87" s="23"/>
      <c r="L87" s="23"/>
      <c r="M87" s="23"/>
      <c r="N87" s="23"/>
      <c r="O87" s="24"/>
      <c r="P87" s="24"/>
    </row>
    <row r="88" ht="15.75" customHeight="1">
      <c r="A88" s="23"/>
      <c r="B88" s="23"/>
      <c r="C88" s="23"/>
      <c r="F88" s="23"/>
      <c r="J88" s="23"/>
      <c r="K88" s="23"/>
      <c r="L88" s="23"/>
      <c r="M88" s="23"/>
      <c r="N88" s="23"/>
      <c r="O88" s="24"/>
      <c r="P88" s="24"/>
    </row>
    <row r="89" ht="15.75" customHeight="1">
      <c r="A89" s="23"/>
      <c r="B89" s="23"/>
      <c r="C89" s="23"/>
      <c r="F89" s="23"/>
      <c r="J89" s="23"/>
      <c r="K89" s="23"/>
      <c r="L89" s="23"/>
      <c r="M89" s="23"/>
      <c r="N89" s="23"/>
      <c r="O89" s="24"/>
      <c r="P89" s="24"/>
    </row>
    <row r="90" ht="15.75" customHeight="1">
      <c r="A90" s="23"/>
      <c r="B90" s="23"/>
      <c r="C90" s="23"/>
      <c r="F90" s="23"/>
      <c r="J90" s="23"/>
      <c r="K90" s="23"/>
      <c r="L90" s="23"/>
      <c r="M90" s="23"/>
      <c r="N90" s="23"/>
      <c r="O90" s="24"/>
      <c r="P90" s="24"/>
    </row>
    <row r="91" ht="15.75" customHeight="1">
      <c r="A91" s="23"/>
      <c r="B91" s="23"/>
      <c r="C91" s="23"/>
      <c r="F91" s="23"/>
      <c r="J91" s="23"/>
      <c r="K91" s="23"/>
      <c r="L91" s="23"/>
      <c r="M91" s="23"/>
      <c r="N91" s="23"/>
      <c r="O91" s="24"/>
      <c r="P91" s="24"/>
    </row>
    <row r="92" ht="15.75" customHeight="1">
      <c r="A92" s="23"/>
      <c r="B92" s="23"/>
      <c r="C92" s="23"/>
      <c r="F92" s="23"/>
      <c r="J92" s="23"/>
      <c r="K92" s="23"/>
      <c r="L92" s="23"/>
      <c r="M92" s="23"/>
      <c r="N92" s="23"/>
      <c r="O92" s="24"/>
      <c r="P92" s="24"/>
    </row>
    <row r="93" ht="15.75" customHeight="1">
      <c r="A93" s="23"/>
      <c r="B93" s="23"/>
      <c r="C93" s="23"/>
      <c r="F93" s="23"/>
      <c r="J93" s="23"/>
      <c r="K93" s="23"/>
      <c r="L93" s="23"/>
      <c r="M93" s="23"/>
      <c r="N93" s="23"/>
      <c r="O93" s="24"/>
      <c r="P93" s="24"/>
    </row>
    <row r="94" ht="15.75" customHeight="1">
      <c r="A94" s="23"/>
      <c r="B94" s="23"/>
      <c r="C94" s="23"/>
      <c r="F94" s="23"/>
      <c r="J94" s="23"/>
      <c r="K94" s="23"/>
      <c r="L94" s="23"/>
      <c r="M94" s="23"/>
      <c r="N94" s="23"/>
      <c r="O94" s="24"/>
      <c r="P94" s="24"/>
    </row>
    <row r="95" ht="15.75" customHeight="1">
      <c r="A95" s="23"/>
      <c r="B95" s="23"/>
      <c r="C95" s="23"/>
      <c r="F95" s="23"/>
      <c r="J95" s="23"/>
      <c r="K95" s="23"/>
      <c r="L95" s="23"/>
      <c r="M95" s="23"/>
      <c r="N95" s="23"/>
      <c r="O95" s="24"/>
      <c r="P95" s="24"/>
    </row>
    <row r="96" ht="15.75" customHeight="1">
      <c r="A96" s="23"/>
      <c r="B96" s="23"/>
      <c r="C96" s="23"/>
      <c r="F96" s="23"/>
      <c r="J96" s="23"/>
      <c r="K96" s="23"/>
      <c r="L96" s="23"/>
      <c r="M96" s="23"/>
      <c r="N96" s="23"/>
      <c r="O96" s="24"/>
      <c r="P96" s="24"/>
    </row>
    <row r="97" ht="15.75" customHeight="1">
      <c r="A97" s="23"/>
      <c r="B97" s="23"/>
      <c r="C97" s="23"/>
      <c r="F97" s="23"/>
      <c r="J97" s="23"/>
      <c r="K97" s="23"/>
      <c r="L97" s="23"/>
      <c r="M97" s="23"/>
      <c r="N97" s="23"/>
      <c r="O97" s="24"/>
      <c r="P97" s="24"/>
    </row>
    <row r="98" ht="15.75" customHeight="1">
      <c r="A98" s="23"/>
      <c r="B98" s="23"/>
      <c r="C98" s="23"/>
      <c r="F98" s="23"/>
      <c r="J98" s="23"/>
      <c r="K98" s="23"/>
      <c r="L98" s="23"/>
      <c r="M98" s="23"/>
      <c r="N98" s="23"/>
      <c r="O98" s="24"/>
      <c r="P98" s="24"/>
    </row>
    <row r="99" ht="15.75" customHeight="1">
      <c r="A99" s="23"/>
      <c r="B99" s="23"/>
      <c r="C99" s="23"/>
      <c r="F99" s="23"/>
      <c r="J99" s="23"/>
      <c r="K99" s="23"/>
      <c r="L99" s="23"/>
      <c r="M99" s="23"/>
      <c r="N99" s="23"/>
      <c r="O99" s="24"/>
      <c r="P99" s="24"/>
    </row>
    <row r="100" ht="15.75" customHeight="1">
      <c r="A100" s="23"/>
      <c r="B100" s="23"/>
      <c r="C100" s="23"/>
      <c r="F100" s="23"/>
      <c r="J100" s="23"/>
      <c r="K100" s="23"/>
      <c r="L100" s="23"/>
      <c r="M100" s="23"/>
      <c r="N100" s="23"/>
      <c r="O100" s="24"/>
      <c r="P100" s="24"/>
    </row>
    <row r="101" ht="15.75" customHeight="1">
      <c r="A101" s="23"/>
      <c r="B101" s="23"/>
      <c r="C101" s="23"/>
      <c r="F101" s="23"/>
      <c r="J101" s="23"/>
      <c r="K101" s="23"/>
      <c r="L101" s="23"/>
      <c r="M101" s="23"/>
      <c r="N101" s="23"/>
      <c r="O101" s="24"/>
      <c r="P101" s="24"/>
    </row>
    <row r="102" ht="15.75" customHeight="1">
      <c r="A102" s="23"/>
      <c r="B102" s="23"/>
      <c r="C102" s="23"/>
      <c r="F102" s="23"/>
      <c r="J102" s="23"/>
      <c r="K102" s="23"/>
      <c r="L102" s="23"/>
      <c r="M102" s="23"/>
      <c r="N102" s="23"/>
      <c r="O102" s="24"/>
      <c r="P102" s="24"/>
    </row>
    <row r="103" ht="15.75" customHeight="1">
      <c r="A103" s="23"/>
      <c r="B103" s="23"/>
      <c r="C103" s="23"/>
      <c r="F103" s="23"/>
      <c r="J103" s="23"/>
      <c r="K103" s="23"/>
      <c r="L103" s="23"/>
      <c r="M103" s="23"/>
      <c r="N103" s="23"/>
      <c r="O103" s="24"/>
      <c r="P103" s="24"/>
    </row>
    <row r="104" ht="15.75" customHeight="1">
      <c r="A104" s="23"/>
      <c r="B104" s="23"/>
      <c r="C104" s="23"/>
      <c r="F104" s="23"/>
      <c r="J104" s="23"/>
      <c r="K104" s="23"/>
      <c r="L104" s="23"/>
      <c r="M104" s="23"/>
      <c r="N104" s="23"/>
      <c r="O104" s="24"/>
      <c r="P104" s="24"/>
    </row>
    <row r="105" ht="15.75" customHeight="1">
      <c r="A105" s="23"/>
      <c r="B105" s="23"/>
      <c r="C105" s="23"/>
      <c r="F105" s="23"/>
      <c r="J105" s="23"/>
      <c r="K105" s="23"/>
      <c r="L105" s="23"/>
      <c r="M105" s="23"/>
      <c r="N105" s="23"/>
      <c r="O105" s="24"/>
      <c r="P105" s="24"/>
    </row>
    <row r="106" ht="15.75" customHeight="1">
      <c r="A106" s="23"/>
      <c r="B106" s="23"/>
      <c r="C106" s="23"/>
      <c r="F106" s="23"/>
      <c r="J106" s="23"/>
      <c r="K106" s="23"/>
      <c r="L106" s="23"/>
      <c r="M106" s="23"/>
      <c r="N106" s="23"/>
      <c r="O106" s="24"/>
      <c r="P106" s="24"/>
    </row>
    <row r="107" ht="15.75" customHeight="1">
      <c r="A107" s="23"/>
      <c r="B107" s="23"/>
      <c r="C107" s="23"/>
      <c r="F107" s="23"/>
      <c r="J107" s="23"/>
      <c r="K107" s="23"/>
      <c r="L107" s="23"/>
      <c r="M107" s="23"/>
      <c r="N107" s="23"/>
      <c r="O107" s="24"/>
      <c r="P107" s="24"/>
    </row>
    <row r="108" ht="15.75" customHeight="1">
      <c r="A108" s="23"/>
      <c r="B108" s="23"/>
      <c r="C108" s="23"/>
      <c r="F108" s="23"/>
      <c r="J108" s="23"/>
      <c r="K108" s="23"/>
      <c r="L108" s="23"/>
      <c r="M108" s="23"/>
      <c r="N108" s="23"/>
      <c r="O108" s="24"/>
      <c r="P108" s="24"/>
    </row>
    <row r="109" ht="15.75" customHeight="1">
      <c r="A109" s="23"/>
      <c r="B109" s="23"/>
      <c r="C109" s="23"/>
      <c r="F109" s="23"/>
      <c r="J109" s="23"/>
      <c r="K109" s="23"/>
      <c r="L109" s="23"/>
      <c r="M109" s="23"/>
      <c r="N109" s="23"/>
      <c r="O109" s="24"/>
      <c r="P109" s="24"/>
    </row>
    <row r="110" ht="15.75" customHeight="1">
      <c r="A110" s="23"/>
      <c r="B110" s="23"/>
      <c r="C110" s="23"/>
      <c r="F110" s="23"/>
      <c r="J110" s="23"/>
      <c r="K110" s="23"/>
      <c r="L110" s="23"/>
      <c r="M110" s="23"/>
      <c r="N110" s="23"/>
      <c r="O110" s="24"/>
      <c r="P110" s="24"/>
    </row>
    <row r="111" ht="15.75" customHeight="1">
      <c r="A111" s="23"/>
      <c r="B111" s="23"/>
      <c r="C111" s="23"/>
      <c r="F111" s="23"/>
      <c r="J111" s="23"/>
      <c r="K111" s="23"/>
      <c r="L111" s="23"/>
      <c r="M111" s="23"/>
      <c r="N111" s="23"/>
      <c r="O111" s="24"/>
      <c r="P111" s="24"/>
    </row>
    <row r="112" ht="15.75" customHeight="1">
      <c r="A112" s="23"/>
      <c r="B112" s="23"/>
      <c r="C112" s="23"/>
      <c r="F112" s="23"/>
      <c r="J112" s="23"/>
      <c r="K112" s="23"/>
      <c r="L112" s="23"/>
      <c r="M112" s="23"/>
      <c r="N112" s="23"/>
      <c r="O112" s="24"/>
      <c r="P112" s="24"/>
    </row>
    <row r="113" ht="15.75" customHeight="1">
      <c r="A113" s="23"/>
      <c r="B113" s="23"/>
      <c r="C113" s="23"/>
      <c r="F113" s="23"/>
      <c r="J113" s="23"/>
      <c r="K113" s="23"/>
      <c r="L113" s="23"/>
      <c r="M113" s="23"/>
      <c r="N113" s="23"/>
      <c r="O113" s="24"/>
      <c r="P113" s="24"/>
    </row>
    <row r="114" ht="15.75" customHeight="1">
      <c r="A114" s="23"/>
      <c r="B114" s="23"/>
      <c r="C114" s="23"/>
      <c r="F114" s="23"/>
      <c r="J114" s="23"/>
      <c r="K114" s="23"/>
      <c r="L114" s="23"/>
      <c r="M114" s="23"/>
      <c r="N114" s="23"/>
      <c r="O114" s="24"/>
      <c r="P114" s="24"/>
    </row>
    <row r="115" ht="15.75" customHeight="1">
      <c r="A115" s="23"/>
      <c r="B115" s="23"/>
      <c r="C115" s="23"/>
      <c r="F115" s="23"/>
      <c r="J115" s="23"/>
      <c r="K115" s="23"/>
      <c r="L115" s="23"/>
      <c r="M115" s="23"/>
      <c r="N115" s="23"/>
      <c r="O115" s="24"/>
      <c r="P115" s="24"/>
    </row>
    <row r="116" ht="15.75" customHeight="1">
      <c r="A116" s="23"/>
      <c r="B116" s="23"/>
      <c r="C116" s="23"/>
      <c r="F116" s="23"/>
      <c r="J116" s="23"/>
      <c r="K116" s="23"/>
      <c r="L116" s="23"/>
      <c r="M116" s="23"/>
      <c r="N116" s="23"/>
      <c r="O116" s="24"/>
      <c r="P116" s="24"/>
    </row>
    <row r="117" ht="15.75" customHeight="1">
      <c r="A117" s="23"/>
      <c r="B117" s="23"/>
      <c r="C117" s="23"/>
      <c r="F117" s="23"/>
      <c r="J117" s="23"/>
      <c r="K117" s="23"/>
      <c r="L117" s="23"/>
      <c r="M117" s="23"/>
      <c r="N117" s="23"/>
      <c r="O117" s="24"/>
      <c r="P117" s="24"/>
    </row>
    <row r="118" ht="15.75" customHeight="1">
      <c r="A118" s="23"/>
      <c r="B118" s="23"/>
      <c r="C118" s="23"/>
      <c r="F118" s="23"/>
      <c r="J118" s="23"/>
      <c r="K118" s="23"/>
      <c r="L118" s="23"/>
      <c r="M118" s="23"/>
      <c r="N118" s="23"/>
      <c r="O118" s="24"/>
      <c r="P118" s="24"/>
    </row>
    <row r="119" ht="15.75" customHeight="1">
      <c r="A119" s="23"/>
      <c r="B119" s="23"/>
      <c r="C119" s="23"/>
      <c r="F119" s="23"/>
      <c r="J119" s="23"/>
      <c r="K119" s="23"/>
      <c r="L119" s="23"/>
      <c r="M119" s="23"/>
      <c r="N119" s="23"/>
      <c r="O119" s="24"/>
      <c r="P119" s="24"/>
    </row>
    <row r="120" ht="15.75" customHeight="1">
      <c r="A120" s="23"/>
      <c r="B120" s="23"/>
      <c r="C120" s="23"/>
      <c r="F120" s="23"/>
      <c r="J120" s="23"/>
      <c r="K120" s="23"/>
      <c r="L120" s="23"/>
      <c r="M120" s="23"/>
      <c r="N120" s="23"/>
      <c r="O120" s="24"/>
      <c r="P120" s="24"/>
    </row>
    <row r="121" ht="15.75" customHeight="1">
      <c r="A121" s="23"/>
      <c r="B121" s="23"/>
      <c r="C121" s="23"/>
      <c r="F121" s="23"/>
      <c r="J121" s="23"/>
      <c r="K121" s="23"/>
      <c r="L121" s="23"/>
      <c r="M121" s="23"/>
      <c r="N121" s="23"/>
      <c r="O121" s="24"/>
      <c r="P121" s="24"/>
    </row>
    <row r="122" ht="15.75" customHeight="1">
      <c r="A122" s="23"/>
      <c r="B122" s="23"/>
      <c r="C122" s="23"/>
      <c r="F122" s="23"/>
      <c r="J122" s="23"/>
      <c r="K122" s="23"/>
      <c r="L122" s="23"/>
      <c r="M122" s="23"/>
      <c r="N122" s="23"/>
      <c r="O122" s="24"/>
      <c r="P122" s="24"/>
    </row>
    <row r="123" ht="15.75" customHeight="1">
      <c r="A123" s="23"/>
      <c r="B123" s="23"/>
      <c r="C123" s="23"/>
      <c r="F123" s="23"/>
      <c r="J123" s="23"/>
      <c r="K123" s="23"/>
      <c r="L123" s="23"/>
      <c r="M123" s="23"/>
      <c r="N123" s="23"/>
      <c r="O123" s="24"/>
      <c r="P123" s="24"/>
    </row>
    <row r="124" ht="15.75" customHeight="1">
      <c r="A124" s="23"/>
      <c r="B124" s="23"/>
      <c r="C124" s="23"/>
      <c r="F124" s="23"/>
      <c r="J124" s="23"/>
      <c r="K124" s="23"/>
      <c r="L124" s="23"/>
      <c r="M124" s="23"/>
      <c r="N124" s="23"/>
      <c r="O124" s="24"/>
      <c r="P124" s="24"/>
    </row>
    <row r="125" ht="15.75" customHeight="1">
      <c r="A125" s="23"/>
      <c r="B125" s="23"/>
      <c r="C125" s="23"/>
      <c r="F125" s="23"/>
      <c r="J125" s="23"/>
      <c r="K125" s="23"/>
      <c r="L125" s="23"/>
      <c r="M125" s="23"/>
      <c r="N125" s="23"/>
      <c r="O125" s="24"/>
      <c r="P125" s="24"/>
    </row>
    <row r="126" ht="15.75" customHeight="1">
      <c r="A126" s="23"/>
      <c r="B126" s="23"/>
      <c r="C126" s="23"/>
      <c r="F126" s="23"/>
      <c r="J126" s="23"/>
      <c r="K126" s="23"/>
      <c r="L126" s="23"/>
      <c r="M126" s="23"/>
      <c r="N126" s="23"/>
      <c r="O126" s="24"/>
      <c r="P126" s="24"/>
    </row>
    <row r="127" ht="15.75" customHeight="1">
      <c r="A127" s="23"/>
      <c r="B127" s="23"/>
      <c r="C127" s="23"/>
      <c r="F127" s="23"/>
      <c r="J127" s="23"/>
      <c r="K127" s="23"/>
      <c r="L127" s="23"/>
      <c r="M127" s="23"/>
      <c r="N127" s="23"/>
      <c r="O127" s="24"/>
      <c r="P127" s="24"/>
    </row>
    <row r="128" ht="15.75" customHeight="1">
      <c r="A128" s="23"/>
      <c r="B128" s="23"/>
      <c r="C128" s="23"/>
      <c r="F128" s="23"/>
      <c r="J128" s="23"/>
      <c r="K128" s="23"/>
      <c r="L128" s="23"/>
      <c r="M128" s="23"/>
      <c r="N128" s="23"/>
      <c r="O128" s="24"/>
      <c r="P128" s="24"/>
    </row>
    <row r="129" ht="15.75" customHeight="1">
      <c r="A129" s="23"/>
      <c r="B129" s="23"/>
      <c r="C129" s="23"/>
      <c r="F129" s="23"/>
      <c r="J129" s="23"/>
      <c r="K129" s="23"/>
      <c r="L129" s="23"/>
      <c r="M129" s="23"/>
      <c r="N129" s="23"/>
      <c r="O129" s="24"/>
      <c r="P129" s="24"/>
    </row>
    <row r="130" ht="15.75" customHeight="1">
      <c r="A130" s="23"/>
      <c r="B130" s="23"/>
      <c r="C130" s="23"/>
      <c r="F130" s="23"/>
      <c r="J130" s="23"/>
      <c r="K130" s="23"/>
      <c r="L130" s="23"/>
      <c r="M130" s="23"/>
      <c r="N130" s="23"/>
      <c r="O130" s="24"/>
      <c r="P130" s="24"/>
    </row>
    <row r="131" ht="15.75" customHeight="1">
      <c r="A131" s="23"/>
      <c r="B131" s="23"/>
      <c r="C131" s="23"/>
      <c r="F131" s="23"/>
      <c r="J131" s="23"/>
      <c r="K131" s="23"/>
      <c r="L131" s="23"/>
      <c r="M131" s="23"/>
      <c r="N131" s="23"/>
      <c r="O131" s="24"/>
      <c r="P131" s="24"/>
    </row>
    <row r="132" ht="15.75" customHeight="1">
      <c r="A132" s="23"/>
      <c r="B132" s="23"/>
      <c r="C132" s="23"/>
      <c r="F132" s="23"/>
      <c r="J132" s="23"/>
      <c r="K132" s="23"/>
      <c r="L132" s="23"/>
      <c r="M132" s="23"/>
      <c r="N132" s="23"/>
      <c r="O132" s="24"/>
      <c r="P132" s="24"/>
    </row>
    <row r="133" ht="15.75" customHeight="1">
      <c r="A133" s="23"/>
      <c r="B133" s="23"/>
      <c r="C133" s="23"/>
      <c r="F133" s="23"/>
      <c r="J133" s="23"/>
      <c r="K133" s="23"/>
      <c r="L133" s="23"/>
      <c r="M133" s="23"/>
      <c r="N133" s="23"/>
      <c r="O133" s="24"/>
      <c r="P133" s="24"/>
    </row>
    <row r="134" ht="15.75" customHeight="1">
      <c r="A134" s="23"/>
      <c r="B134" s="23"/>
      <c r="C134" s="23"/>
      <c r="F134" s="23"/>
      <c r="J134" s="23"/>
      <c r="K134" s="23"/>
      <c r="L134" s="23"/>
      <c r="M134" s="23"/>
      <c r="N134" s="23"/>
      <c r="O134" s="24"/>
      <c r="P134" s="24"/>
    </row>
    <row r="135" ht="15.75" customHeight="1">
      <c r="A135" s="23"/>
      <c r="B135" s="23"/>
      <c r="C135" s="23"/>
      <c r="F135" s="23"/>
      <c r="J135" s="23"/>
      <c r="K135" s="23"/>
      <c r="L135" s="23"/>
      <c r="M135" s="23"/>
      <c r="N135" s="23"/>
      <c r="O135" s="24"/>
      <c r="P135" s="24"/>
    </row>
    <row r="136" ht="15.75" customHeight="1">
      <c r="A136" s="23"/>
      <c r="B136" s="23"/>
      <c r="C136" s="23"/>
      <c r="F136" s="23"/>
      <c r="J136" s="23"/>
      <c r="K136" s="23"/>
      <c r="L136" s="23"/>
      <c r="M136" s="23"/>
      <c r="N136" s="23"/>
      <c r="O136" s="24"/>
      <c r="P136" s="24"/>
    </row>
    <row r="137" ht="15.75" customHeight="1">
      <c r="A137" s="23"/>
      <c r="B137" s="23"/>
      <c r="C137" s="23"/>
      <c r="F137" s="23"/>
      <c r="J137" s="23"/>
      <c r="K137" s="23"/>
      <c r="L137" s="23"/>
      <c r="M137" s="23"/>
      <c r="N137" s="23"/>
      <c r="O137" s="24"/>
      <c r="P137" s="24"/>
    </row>
    <row r="138" ht="15.75" customHeight="1">
      <c r="A138" s="23"/>
      <c r="B138" s="23"/>
      <c r="C138" s="23"/>
      <c r="F138" s="23"/>
      <c r="J138" s="23"/>
      <c r="K138" s="23"/>
      <c r="L138" s="23"/>
      <c r="M138" s="23"/>
      <c r="N138" s="23"/>
      <c r="O138" s="24"/>
      <c r="P138" s="24"/>
    </row>
    <row r="139" ht="15.75" customHeight="1">
      <c r="A139" s="23"/>
      <c r="B139" s="23"/>
      <c r="C139" s="23"/>
      <c r="F139" s="23"/>
      <c r="J139" s="23"/>
      <c r="K139" s="23"/>
      <c r="L139" s="23"/>
      <c r="M139" s="23"/>
      <c r="N139" s="23"/>
      <c r="O139" s="24"/>
      <c r="P139" s="24"/>
    </row>
    <row r="140" ht="15.75" customHeight="1">
      <c r="A140" s="23"/>
      <c r="B140" s="23"/>
      <c r="C140" s="23"/>
      <c r="F140" s="23"/>
      <c r="J140" s="23"/>
      <c r="K140" s="23"/>
      <c r="L140" s="23"/>
      <c r="M140" s="23"/>
      <c r="N140" s="23"/>
      <c r="O140" s="24"/>
      <c r="P140" s="24"/>
    </row>
    <row r="141" ht="15.75" customHeight="1">
      <c r="A141" s="23"/>
      <c r="B141" s="23"/>
      <c r="C141" s="23"/>
      <c r="F141" s="23"/>
      <c r="J141" s="23"/>
      <c r="K141" s="23"/>
      <c r="L141" s="23"/>
      <c r="M141" s="23"/>
      <c r="N141" s="23"/>
      <c r="O141" s="24"/>
      <c r="P141" s="24"/>
    </row>
    <row r="142" ht="15.75" customHeight="1">
      <c r="A142" s="23"/>
      <c r="B142" s="23"/>
      <c r="C142" s="23"/>
      <c r="F142" s="23"/>
      <c r="J142" s="23"/>
      <c r="K142" s="23"/>
      <c r="L142" s="23"/>
      <c r="M142" s="23"/>
      <c r="N142" s="23"/>
      <c r="O142" s="24"/>
      <c r="P142" s="24"/>
    </row>
    <row r="143" ht="15.75" customHeight="1">
      <c r="A143" s="23"/>
      <c r="B143" s="23"/>
      <c r="C143" s="23"/>
      <c r="F143" s="23"/>
      <c r="J143" s="23"/>
      <c r="K143" s="23"/>
      <c r="L143" s="23"/>
      <c r="M143" s="23"/>
      <c r="N143" s="23"/>
      <c r="O143" s="24"/>
      <c r="P143" s="24"/>
    </row>
    <row r="144" ht="15.75" customHeight="1">
      <c r="A144" s="23"/>
      <c r="B144" s="23"/>
      <c r="C144" s="23"/>
      <c r="F144" s="23"/>
      <c r="J144" s="23"/>
      <c r="K144" s="23"/>
      <c r="L144" s="23"/>
      <c r="M144" s="23"/>
      <c r="N144" s="23"/>
      <c r="O144" s="24"/>
      <c r="P144" s="24"/>
    </row>
    <row r="145" ht="15.75" customHeight="1">
      <c r="A145" s="23"/>
      <c r="B145" s="23"/>
      <c r="C145" s="23"/>
      <c r="F145" s="23"/>
      <c r="J145" s="23"/>
      <c r="K145" s="23"/>
      <c r="L145" s="23"/>
      <c r="M145" s="23"/>
      <c r="N145" s="23"/>
      <c r="O145" s="24"/>
      <c r="P145" s="24"/>
    </row>
    <row r="146" ht="15.75" customHeight="1">
      <c r="A146" s="23"/>
      <c r="B146" s="23"/>
      <c r="C146" s="23"/>
      <c r="F146" s="23"/>
      <c r="J146" s="23"/>
      <c r="K146" s="23"/>
      <c r="L146" s="23"/>
      <c r="M146" s="23"/>
      <c r="N146" s="23"/>
      <c r="O146" s="24"/>
      <c r="P146" s="24"/>
    </row>
    <row r="147" ht="15.75" customHeight="1">
      <c r="A147" s="23"/>
      <c r="B147" s="23"/>
      <c r="C147" s="23"/>
      <c r="F147" s="23"/>
      <c r="J147" s="23"/>
      <c r="K147" s="23"/>
      <c r="L147" s="23"/>
      <c r="M147" s="23"/>
      <c r="N147" s="23"/>
      <c r="O147" s="24"/>
      <c r="P147" s="24"/>
    </row>
    <row r="148" ht="15.75" customHeight="1">
      <c r="A148" s="23"/>
      <c r="B148" s="23"/>
      <c r="C148" s="23"/>
      <c r="F148" s="23"/>
      <c r="J148" s="23"/>
      <c r="K148" s="23"/>
      <c r="L148" s="23"/>
      <c r="M148" s="23"/>
      <c r="N148" s="23"/>
      <c r="O148" s="24"/>
      <c r="P148" s="24"/>
    </row>
    <row r="149" ht="15.75" customHeight="1">
      <c r="A149" s="23"/>
      <c r="B149" s="23"/>
      <c r="C149" s="23"/>
      <c r="F149" s="23"/>
      <c r="J149" s="23"/>
      <c r="K149" s="23"/>
      <c r="L149" s="23"/>
      <c r="M149" s="23"/>
      <c r="N149" s="23"/>
      <c r="O149" s="24"/>
      <c r="P149" s="24"/>
    </row>
    <row r="150" ht="15.75" customHeight="1">
      <c r="A150" s="23"/>
      <c r="B150" s="23"/>
      <c r="C150" s="23"/>
      <c r="F150" s="23"/>
      <c r="J150" s="23"/>
      <c r="K150" s="23"/>
      <c r="L150" s="23"/>
      <c r="M150" s="23"/>
      <c r="N150" s="23"/>
      <c r="O150" s="24"/>
      <c r="P150" s="24"/>
    </row>
    <row r="151" ht="15.75" customHeight="1">
      <c r="A151" s="23"/>
      <c r="B151" s="23"/>
      <c r="C151" s="23"/>
      <c r="F151" s="23"/>
      <c r="J151" s="23"/>
      <c r="K151" s="23"/>
      <c r="L151" s="23"/>
      <c r="M151" s="23"/>
      <c r="N151" s="23"/>
      <c r="O151" s="24"/>
      <c r="P151" s="24"/>
    </row>
    <row r="152" ht="15.75" customHeight="1">
      <c r="A152" s="23"/>
      <c r="B152" s="23"/>
      <c r="C152" s="23"/>
      <c r="F152" s="23"/>
      <c r="J152" s="23"/>
      <c r="K152" s="23"/>
      <c r="L152" s="23"/>
      <c r="M152" s="23"/>
      <c r="N152" s="23"/>
      <c r="O152" s="24"/>
      <c r="P152" s="24"/>
    </row>
    <row r="153" ht="15.75" customHeight="1">
      <c r="A153" s="23"/>
      <c r="B153" s="23"/>
      <c r="C153" s="23"/>
      <c r="F153" s="23"/>
      <c r="J153" s="23"/>
      <c r="K153" s="23"/>
      <c r="L153" s="23"/>
      <c r="M153" s="23"/>
      <c r="N153" s="23"/>
      <c r="O153" s="24"/>
      <c r="P153" s="24"/>
    </row>
    <row r="154" ht="15.75" customHeight="1">
      <c r="A154" s="23"/>
      <c r="B154" s="23"/>
      <c r="C154" s="23"/>
      <c r="F154" s="23"/>
      <c r="J154" s="23"/>
      <c r="K154" s="23"/>
      <c r="L154" s="23"/>
      <c r="M154" s="23"/>
      <c r="N154" s="23"/>
      <c r="O154" s="24"/>
      <c r="P154" s="24"/>
    </row>
    <row r="155" ht="15.75" customHeight="1">
      <c r="A155" s="23"/>
      <c r="B155" s="23"/>
      <c r="C155" s="23"/>
      <c r="F155" s="23"/>
      <c r="J155" s="23"/>
      <c r="K155" s="23"/>
      <c r="L155" s="23"/>
      <c r="M155" s="23"/>
      <c r="N155" s="23"/>
      <c r="O155" s="24"/>
      <c r="P155" s="24"/>
    </row>
    <row r="156" ht="15.75" customHeight="1">
      <c r="A156" s="23"/>
      <c r="B156" s="23"/>
      <c r="C156" s="23"/>
      <c r="F156" s="23"/>
      <c r="J156" s="23"/>
      <c r="K156" s="23"/>
      <c r="L156" s="23"/>
      <c r="M156" s="23"/>
      <c r="N156" s="23"/>
      <c r="O156" s="24"/>
      <c r="P156" s="24"/>
    </row>
    <row r="157" ht="15.75" customHeight="1">
      <c r="A157" s="23"/>
      <c r="B157" s="23"/>
      <c r="C157" s="23"/>
      <c r="F157" s="23"/>
      <c r="J157" s="23"/>
      <c r="K157" s="23"/>
      <c r="L157" s="23"/>
      <c r="M157" s="23"/>
      <c r="N157" s="23"/>
      <c r="O157" s="24"/>
      <c r="P157" s="24"/>
    </row>
    <row r="158" ht="15.75" customHeight="1">
      <c r="A158" s="23"/>
      <c r="B158" s="23"/>
      <c r="C158" s="23"/>
      <c r="F158" s="23"/>
      <c r="J158" s="23"/>
      <c r="K158" s="23"/>
      <c r="L158" s="23"/>
      <c r="M158" s="23"/>
      <c r="N158" s="23"/>
      <c r="O158" s="24"/>
      <c r="P158" s="24"/>
    </row>
    <row r="159" ht="15.75" customHeight="1">
      <c r="A159" s="23"/>
      <c r="B159" s="23"/>
      <c r="C159" s="23"/>
      <c r="F159" s="23"/>
      <c r="J159" s="23"/>
      <c r="K159" s="23"/>
      <c r="L159" s="23"/>
      <c r="M159" s="23"/>
      <c r="N159" s="23"/>
      <c r="O159" s="24"/>
      <c r="P159" s="24"/>
    </row>
    <row r="160" ht="15.75" customHeight="1">
      <c r="A160" s="23"/>
      <c r="B160" s="23"/>
      <c r="C160" s="23"/>
      <c r="F160" s="23"/>
      <c r="J160" s="23"/>
      <c r="K160" s="23"/>
      <c r="L160" s="23"/>
      <c r="M160" s="23"/>
      <c r="N160" s="23"/>
      <c r="O160" s="24"/>
      <c r="P160" s="24"/>
    </row>
    <row r="161" ht="15.75" customHeight="1">
      <c r="A161" s="23"/>
      <c r="B161" s="23"/>
      <c r="C161" s="23"/>
      <c r="F161" s="23"/>
      <c r="J161" s="23"/>
      <c r="K161" s="23"/>
      <c r="L161" s="23"/>
      <c r="M161" s="23"/>
      <c r="N161" s="23"/>
      <c r="O161" s="24"/>
      <c r="P161" s="24"/>
    </row>
    <row r="162" ht="15.75" customHeight="1">
      <c r="A162" s="23"/>
      <c r="B162" s="23"/>
      <c r="C162" s="23"/>
      <c r="F162" s="23"/>
      <c r="J162" s="23"/>
      <c r="K162" s="23"/>
      <c r="L162" s="23"/>
      <c r="M162" s="23"/>
      <c r="N162" s="23"/>
      <c r="O162" s="24"/>
      <c r="P162" s="24"/>
    </row>
    <row r="163" ht="15.75" customHeight="1">
      <c r="A163" s="23"/>
      <c r="B163" s="23"/>
      <c r="C163" s="23"/>
      <c r="F163" s="23"/>
      <c r="J163" s="23"/>
      <c r="K163" s="23"/>
      <c r="L163" s="23"/>
      <c r="M163" s="23"/>
      <c r="N163" s="23"/>
      <c r="O163" s="24"/>
      <c r="P163" s="24"/>
    </row>
    <row r="164" ht="15.75" customHeight="1">
      <c r="A164" s="23"/>
      <c r="B164" s="23"/>
      <c r="C164" s="23"/>
      <c r="F164" s="23"/>
      <c r="J164" s="23"/>
      <c r="K164" s="23"/>
      <c r="L164" s="23"/>
      <c r="M164" s="23"/>
      <c r="N164" s="23"/>
      <c r="O164" s="24"/>
      <c r="P164" s="24"/>
    </row>
    <row r="165" ht="15.75" customHeight="1">
      <c r="A165" s="23"/>
      <c r="B165" s="23"/>
      <c r="C165" s="23"/>
      <c r="F165" s="23"/>
      <c r="J165" s="23"/>
      <c r="K165" s="23"/>
      <c r="L165" s="23"/>
      <c r="M165" s="23"/>
      <c r="N165" s="23"/>
      <c r="O165" s="24"/>
      <c r="P165" s="24"/>
    </row>
    <row r="166" ht="15.75" customHeight="1">
      <c r="A166" s="23"/>
      <c r="B166" s="23"/>
      <c r="C166" s="23"/>
      <c r="F166" s="23"/>
      <c r="J166" s="23"/>
      <c r="K166" s="23"/>
      <c r="L166" s="23"/>
      <c r="M166" s="23"/>
      <c r="N166" s="23"/>
      <c r="O166" s="24"/>
      <c r="P166" s="24"/>
    </row>
    <row r="167" ht="15.75" customHeight="1">
      <c r="A167" s="23"/>
      <c r="B167" s="23"/>
      <c r="C167" s="23"/>
      <c r="F167" s="23"/>
      <c r="J167" s="23"/>
      <c r="K167" s="23"/>
      <c r="L167" s="23"/>
      <c r="M167" s="23"/>
      <c r="N167" s="23"/>
      <c r="O167" s="24"/>
      <c r="P167" s="24"/>
    </row>
    <row r="168" ht="15.75" customHeight="1">
      <c r="A168" s="23"/>
      <c r="B168" s="23"/>
      <c r="C168" s="23"/>
      <c r="F168" s="23"/>
      <c r="J168" s="23"/>
      <c r="K168" s="23"/>
      <c r="L168" s="23"/>
      <c r="M168" s="23"/>
      <c r="N168" s="23"/>
      <c r="O168" s="24"/>
      <c r="P168" s="24"/>
    </row>
    <row r="169" ht="15.75" customHeight="1">
      <c r="A169" s="23"/>
      <c r="B169" s="23"/>
      <c r="C169" s="23"/>
      <c r="F169" s="23"/>
      <c r="J169" s="23"/>
      <c r="K169" s="23"/>
      <c r="L169" s="23"/>
      <c r="M169" s="23"/>
      <c r="N169" s="23"/>
      <c r="O169" s="24"/>
      <c r="P169" s="24"/>
    </row>
    <row r="170" ht="15.75" customHeight="1">
      <c r="A170" s="23"/>
      <c r="B170" s="23"/>
      <c r="C170" s="23"/>
      <c r="F170" s="23"/>
      <c r="J170" s="23"/>
      <c r="K170" s="23"/>
      <c r="L170" s="23"/>
      <c r="M170" s="23"/>
      <c r="N170" s="23"/>
      <c r="O170" s="24"/>
      <c r="P170" s="24"/>
    </row>
    <row r="171" ht="15.75" customHeight="1">
      <c r="A171" s="23"/>
      <c r="B171" s="23"/>
      <c r="C171" s="23"/>
      <c r="F171" s="23"/>
      <c r="J171" s="23"/>
      <c r="K171" s="23"/>
      <c r="L171" s="23"/>
      <c r="M171" s="23"/>
      <c r="N171" s="23"/>
      <c r="O171" s="24"/>
      <c r="P171" s="24"/>
    </row>
    <row r="172" ht="15.75" customHeight="1">
      <c r="A172" s="23"/>
      <c r="B172" s="23"/>
      <c r="C172" s="23"/>
      <c r="F172" s="23"/>
      <c r="J172" s="23"/>
      <c r="K172" s="23"/>
      <c r="L172" s="23"/>
      <c r="M172" s="23"/>
      <c r="N172" s="23"/>
      <c r="O172" s="24"/>
      <c r="P172" s="24"/>
    </row>
    <row r="173" ht="15.75" customHeight="1">
      <c r="A173" s="23"/>
      <c r="B173" s="23"/>
      <c r="C173" s="23"/>
      <c r="F173" s="23"/>
      <c r="J173" s="23"/>
      <c r="K173" s="23"/>
      <c r="L173" s="23"/>
      <c r="M173" s="23"/>
      <c r="N173" s="23"/>
      <c r="O173" s="24"/>
      <c r="P173" s="24"/>
    </row>
    <row r="174" ht="15.75" customHeight="1">
      <c r="A174" s="23"/>
      <c r="B174" s="23"/>
      <c r="C174" s="23"/>
      <c r="F174" s="23"/>
      <c r="J174" s="23"/>
      <c r="K174" s="23"/>
      <c r="L174" s="23"/>
      <c r="M174" s="23"/>
      <c r="N174" s="23"/>
      <c r="O174" s="24"/>
      <c r="P174" s="24"/>
    </row>
    <row r="175" ht="15.75" customHeight="1">
      <c r="A175" s="23"/>
      <c r="B175" s="23"/>
      <c r="C175" s="23"/>
      <c r="F175" s="23"/>
      <c r="J175" s="23"/>
      <c r="K175" s="23"/>
      <c r="L175" s="23"/>
      <c r="M175" s="23"/>
      <c r="N175" s="23"/>
      <c r="O175" s="24"/>
      <c r="P175" s="24"/>
    </row>
    <row r="176" ht="15.75" customHeight="1">
      <c r="A176" s="23"/>
      <c r="B176" s="23"/>
      <c r="C176" s="23"/>
      <c r="F176" s="23"/>
      <c r="J176" s="23"/>
      <c r="K176" s="23"/>
      <c r="L176" s="23"/>
      <c r="M176" s="23"/>
      <c r="N176" s="23"/>
      <c r="O176" s="24"/>
      <c r="P176" s="24"/>
    </row>
    <row r="177" ht="15.75" customHeight="1">
      <c r="A177" s="23"/>
      <c r="B177" s="23"/>
      <c r="C177" s="23"/>
      <c r="F177" s="23"/>
      <c r="J177" s="23"/>
      <c r="K177" s="23"/>
      <c r="L177" s="23"/>
      <c r="M177" s="23"/>
      <c r="N177" s="23"/>
      <c r="O177" s="24"/>
      <c r="P177" s="24"/>
    </row>
    <row r="178" ht="15.75" customHeight="1">
      <c r="A178" s="23"/>
      <c r="B178" s="23"/>
      <c r="C178" s="23"/>
      <c r="F178" s="23"/>
      <c r="J178" s="23"/>
      <c r="K178" s="23"/>
      <c r="L178" s="23"/>
      <c r="M178" s="23"/>
      <c r="N178" s="23"/>
      <c r="O178" s="24"/>
      <c r="P178" s="24"/>
    </row>
    <row r="179" ht="15.75" customHeight="1">
      <c r="A179" s="23"/>
      <c r="B179" s="23"/>
      <c r="C179" s="23"/>
      <c r="F179" s="23"/>
      <c r="J179" s="23"/>
      <c r="K179" s="23"/>
      <c r="L179" s="23"/>
      <c r="M179" s="23"/>
      <c r="N179" s="23"/>
      <c r="O179" s="24"/>
      <c r="P179" s="24"/>
    </row>
    <row r="180" ht="15.75" customHeight="1">
      <c r="A180" s="23"/>
      <c r="B180" s="23"/>
      <c r="C180" s="23"/>
      <c r="F180" s="23"/>
      <c r="J180" s="23"/>
      <c r="K180" s="23"/>
      <c r="L180" s="23"/>
      <c r="M180" s="23"/>
      <c r="N180" s="23"/>
      <c r="O180" s="24"/>
      <c r="P180" s="24"/>
    </row>
    <row r="181" ht="15.75" customHeight="1">
      <c r="A181" s="23"/>
      <c r="B181" s="23"/>
      <c r="C181" s="23"/>
      <c r="F181" s="23"/>
      <c r="J181" s="23"/>
      <c r="K181" s="23"/>
      <c r="L181" s="23"/>
      <c r="M181" s="23"/>
      <c r="N181" s="23"/>
      <c r="O181" s="24"/>
      <c r="P181" s="24"/>
    </row>
    <row r="182" ht="15.75" customHeight="1">
      <c r="A182" s="23"/>
      <c r="B182" s="23"/>
      <c r="C182" s="23"/>
      <c r="F182" s="23"/>
      <c r="J182" s="23"/>
      <c r="K182" s="23"/>
      <c r="L182" s="23"/>
      <c r="M182" s="23"/>
      <c r="N182" s="23"/>
      <c r="O182" s="24"/>
      <c r="P182" s="24"/>
    </row>
    <row r="183" ht="15.75" customHeight="1">
      <c r="A183" s="23"/>
      <c r="B183" s="23"/>
      <c r="C183" s="23"/>
      <c r="F183" s="23"/>
      <c r="J183" s="23"/>
      <c r="K183" s="23"/>
      <c r="L183" s="23"/>
      <c r="M183" s="23"/>
      <c r="N183" s="23"/>
      <c r="O183" s="24"/>
      <c r="P183" s="24"/>
    </row>
    <row r="184" ht="15.75" customHeight="1">
      <c r="A184" s="23"/>
      <c r="B184" s="23"/>
      <c r="C184" s="23"/>
      <c r="F184" s="23"/>
      <c r="J184" s="23"/>
      <c r="K184" s="23"/>
      <c r="L184" s="23"/>
      <c r="M184" s="23"/>
      <c r="N184" s="23"/>
      <c r="O184" s="24"/>
      <c r="P184" s="24"/>
    </row>
    <row r="185" ht="15.75" customHeight="1">
      <c r="A185" s="23"/>
      <c r="B185" s="23"/>
      <c r="C185" s="23"/>
      <c r="F185" s="23"/>
      <c r="J185" s="23"/>
      <c r="K185" s="23"/>
      <c r="L185" s="23"/>
      <c r="M185" s="23"/>
      <c r="N185" s="23"/>
      <c r="O185" s="24"/>
      <c r="P185" s="24"/>
    </row>
    <row r="186" ht="15.75" customHeight="1">
      <c r="A186" s="23"/>
      <c r="B186" s="23"/>
      <c r="C186" s="23"/>
      <c r="F186" s="23"/>
      <c r="J186" s="23"/>
      <c r="K186" s="23"/>
      <c r="L186" s="23"/>
      <c r="M186" s="23"/>
      <c r="N186" s="23"/>
      <c r="O186" s="24"/>
      <c r="P186" s="24"/>
    </row>
    <row r="187" ht="15.75" customHeight="1">
      <c r="A187" s="23"/>
      <c r="B187" s="23"/>
      <c r="C187" s="23"/>
      <c r="F187" s="23"/>
      <c r="J187" s="23"/>
      <c r="K187" s="23"/>
      <c r="L187" s="23"/>
      <c r="M187" s="23"/>
      <c r="N187" s="23"/>
      <c r="O187" s="24"/>
      <c r="P187" s="24"/>
    </row>
    <row r="188" ht="15.75" customHeight="1">
      <c r="A188" s="23"/>
      <c r="B188" s="23"/>
      <c r="C188" s="23"/>
      <c r="F188" s="23"/>
      <c r="J188" s="23"/>
      <c r="K188" s="23"/>
      <c r="L188" s="23"/>
      <c r="M188" s="23"/>
      <c r="N188" s="23"/>
      <c r="O188" s="24"/>
      <c r="P188" s="24"/>
    </row>
    <row r="189" ht="15.75" customHeight="1">
      <c r="A189" s="23"/>
      <c r="B189" s="23"/>
      <c r="C189" s="23"/>
      <c r="F189" s="23"/>
      <c r="J189" s="23"/>
      <c r="K189" s="23"/>
      <c r="L189" s="23"/>
      <c r="M189" s="23"/>
      <c r="N189" s="23"/>
      <c r="O189" s="24"/>
      <c r="P189" s="24"/>
    </row>
    <row r="190" ht="15.75" customHeight="1">
      <c r="A190" s="23"/>
      <c r="B190" s="23"/>
      <c r="C190" s="23"/>
      <c r="F190" s="23"/>
      <c r="J190" s="23"/>
      <c r="K190" s="23"/>
      <c r="L190" s="23"/>
      <c r="M190" s="23"/>
      <c r="N190" s="23"/>
      <c r="O190" s="24"/>
      <c r="P190" s="24"/>
    </row>
    <row r="191" ht="15.75" customHeight="1">
      <c r="A191" s="23"/>
      <c r="B191" s="23"/>
      <c r="C191" s="23"/>
      <c r="F191" s="23"/>
      <c r="J191" s="23"/>
      <c r="K191" s="23"/>
      <c r="L191" s="23"/>
      <c r="M191" s="23"/>
      <c r="N191" s="23"/>
      <c r="O191" s="24"/>
      <c r="P191" s="24"/>
    </row>
    <row r="192" ht="15.75" customHeight="1">
      <c r="A192" s="23"/>
      <c r="B192" s="23"/>
      <c r="C192" s="23"/>
      <c r="F192" s="23"/>
      <c r="J192" s="23"/>
      <c r="K192" s="23"/>
      <c r="L192" s="23"/>
      <c r="M192" s="23"/>
      <c r="N192" s="23"/>
      <c r="O192" s="24"/>
      <c r="P192" s="24"/>
    </row>
    <row r="193" ht="15.75" customHeight="1">
      <c r="A193" s="23"/>
      <c r="B193" s="23"/>
      <c r="C193" s="23"/>
      <c r="F193" s="23"/>
      <c r="J193" s="23"/>
      <c r="K193" s="23"/>
      <c r="L193" s="23"/>
      <c r="M193" s="23"/>
      <c r="N193" s="23"/>
      <c r="O193" s="24"/>
      <c r="P193" s="24"/>
    </row>
    <row r="194" ht="15.75" customHeight="1">
      <c r="A194" s="23"/>
      <c r="B194" s="23"/>
      <c r="C194" s="23"/>
      <c r="F194" s="23"/>
      <c r="J194" s="23"/>
      <c r="K194" s="23"/>
      <c r="L194" s="23"/>
      <c r="M194" s="23"/>
      <c r="N194" s="23"/>
      <c r="O194" s="24"/>
      <c r="P194" s="24"/>
    </row>
    <row r="195" ht="15.75" customHeight="1">
      <c r="A195" s="23"/>
      <c r="B195" s="23"/>
      <c r="C195" s="23"/>
      <c r="F195" s="23"/>
      <c r="J195" s="23"/>
      <c r="K195" s="23"/>
      <c r="L195" s="23"/>
      <c r="M195" s="23"/>
      <c r="N195" s="23"/>
      <c r="O195" s="24"/>
      <c r="P195" s="24"/>
    </row>
    <row r="196" ht="15.75" customHeight="1">
      <c r="A196" s="23"/>
      <c r="B196" s="23"/>
      <c r="C196" s="23"/>
      <c r="F196" s="23"/>
      <c r="J196" s="23"/>
      <c r="K196" s="23"/>
      <c r="L196" s="23"/>
      <c r="M196" s="23"/>
      <c r="N196" s="23"/>
      <c r="O196" s="24"/>
      <c r="P196" s="24"/>
    </row>
    <row r="197" ht="15.75" customHeight="1">
      <c r="A197" s="23"/>
      <c r="B197" s="23"/>
      <c r="C197" s="23"/>
      <c r="F197" s="23"/>
      <c r="J197" s="23"/>
      <c r="K197" s="23"/>
      <c r="L197" s="23"/>
      <c r="M197" s="23"/>
      <c r="N197" s="23"/>
      <c r="O197" s="24"/>
      <c r="P197" s="24"/>
    </row>
    <row r="198" ht="15.75" customHeight="1">
      <c r="A198" s="23"/>
      <c r="B198" s="23"/>
      <c r="C198" s="23"/>
      <c r="F198" s="23"/>
      <c r="J198" s="23"/>
      <c r="K198" s="23"/>
      <c r="L198" s="23"/>
      <c r="M198" s="23"/>
      <c r="N198" s="23"/>
      <c r="O198" s="24"/>
      <c r="P198" s="24"/>
    </row>
    <row r="199" ht="15.75" customHeight="1">
      <c r="A199" s="23"/>
      <c r="B199" s="23"/>
      <c r="C199" s="23"/>
      <c r="F199" s="23"/>
      <c r="J199" s="23"/>
      <c r="K199" s="23"/>
      <c r="L199" s="23"/>
      <c r="M199" s="23"/>
      <c r="N199" s="23"/>
      <c r="O199" s="24"/>
      <c r="P199" s="24"/>
    </row>
    <row r="200" ht="15.75" customHeight="1">
      <c r="A200" s="23"/>
      <c r="B200" s="23"/>
      <c r="C200" s="23"/>
      <c r="F200" s="23"/>
      <c r="J200" s="23"/>
      <c r="K200" s="23"/>
      <c r="L200" s="23"/>
      <c r="M200" s="23"/>
      <c r="N200" s="23"/>
      <c r="O200" s="24"/>
      <c r="P200" s="24"/>
    </row>
    <row r="201" ht="15.75" customHeight="1">
      <c r="A201" s="23"/>
      <c r="B201" s="23"/>
      <c r="C201" s="23"/>
      <c r="F201" s="23"/>
      <c r="J201" s="23"/>
      <c r="K201" s="23"/>
      <c r="L201" s="23"/>
      <c r="M201" s="23"/>
      <c r="N201" s="23"/>
      <c r="O201" s="24"/>
      <c r="P201" s="24"/>
    </row>
    <row r="202" ht="15.75" customHeight="1">
      <c r="A202" s="23"/>
      <c r="B202" s="23"/>
      <c r="C202" s="23"/>
      <c r="F202" s="23"/>
      <c r="J202" s="23"/>
      <c r="K202" s="23"/>
      <c r="L202" s="23"/>
      <c r="M202" s="23"/>
      <c r="N202" s="23"/>
      <c r="O202" s="24"/>
      <c r="P202" s="24"/>
    </row>
    <row r="203" ht="15.75" customHeight="1">
      <c r="A203" s="23"/>
      <c r="B203" s="23"/>
      <c r="C203" s="23"/>
      <c r="F203" s="23"/>
      <c r="J203" s="23"/>
      <c r="K203" s="23"/>
      <c r="L203" s="23"/>
      <c r="M203" s="23"/>
      <c r="N203" s="23"/>
      <c r="O203" s="24"/>
      <c r="P203" s="24"/>
    </row>
    <row r="204" ht="15.75" customHeight="1">
      <c r="A204" s="23"/>
      <c r="B204" s="23"/>
      <c r="C204" s="23"/>
      <c r="F204" s="23"/>
      <c r="J204" s="23"/>
      <c r="K204" s="23"/>
      <c r="L204" s="23"/>
      <c r="M204" s="23"/>
      <c r="N204" s="23"/>
      <c r="O204" s="24"/>
      <c r="P204" s="24"/>
    </row>
    <row r="205" ht="15.75" customHeight="1">
      <c r="A205" s="23"/>
      <c r="B205" s="23"/>
      <c r="C205" s="23"/>
      <c r="F205" s="23"/>
      <c r="J205" s="23"/>
      <c r="K205" s="23"/>
      <c r="L205" s="23"/>
      <c r="M205" s="23"/>
      <c r="N205" s="23"/>
      <c r="O205" s="24"/>
      <c r="P205" s="24"/>
    </row>
    <row r="206" ht="15.75" customHeight="1">
      <c r="A206" s="23"/>
      <c r="B206" s="23"/>
      <c r="C206" s="23"/>
      <c r="F206" s="23"/>
      <c r="J206" s="23"/>
      <c r="K206" s="23"/>
      <c r="L206" s="23"/>
      <c r="M206" s="23"/>
      <c r="N206" s="23"/>
      <c r="O206" s="24"/>
      <c r="P206" s="24"/>
    </row>
    <row r="207" ht="15.75" customHeight="1">
      <c r="A207" s="23"/>
      <c r="B207" s="23"/>
      <c r="C207" s="23"/>
      <c r="F207" s="23"/>
      <c r="J207" s="23"/>
      <c r="K207" s="23"/>
      <c r="L207" s="23"/>
      <c r="M207" s="23"/>
      <c r="N207" s="23"/>
      <c r="O207" s="24"/>
      <c r="P207" s="24"/>
    </row>
    <row r="208" ht="15.75" customHeight="1">
      <c r="A208" s="23"/>
      <c r="B208" s="23"/>
      <c r="C208" s="23"/>
      <c r="F208" s="23"/>
      <c r="J208" s="23"/>
      <c r="K208" s="23"/>
      <c r="L208" s="23"/>
      <c r="M208" s="23"/>
      <c r="N208" s="23"/>
      <c r="O208" s="24"/>
      <c r="P208" s="24"/>
    </row>
    <row r="209" ht="15.75" customHeight="1">
      <c r="A209" s="23"/>
      <c r="B209" s="23"/>
      <c r="C209" s="23"/>
      <c r="F209" s="23"/>
      <c r="J209" s="23"/>
      <c r="K209" s="23"/>
      <c r="L209" s="23"/>
      <c r="M209" s="23"/>
      <c r="N209" s="23"/>
      <c r="O209" s="24"/>
      <c r="P209" s="24"/>
    </row>
    <row r="210" ht="15.75" customHeight="1">
      <c r="A210" s="23"/>
      <c r="B210" s="23"/>
      <c r="C210" s="23"/>
      <c r="F210" s="23"/>
      <c r="J210" s="23"/>
      <c r="K210" s="23"/>
      <c r="L210" s="23"/>
      <c r="M210" s="23"/>
      <c r="N210" s="23"/>
      <c r="O210" s="24"/>
      <c r="P210" s="24"/>
    </row>
    <row r="211" ht="15.75" customHeight="1">
      <c r="A211" s="23"/>
      <c r="B211" s="23"/>
      <c r="C211" s="23"/>
      <c r="F211" s="23"/>
      <c r="J211" s="23"/>
      <c r="K211" s="23"/>
      <c r="L211" s="23"/>
      <c r="M211" s="23"/>
      <c r="N211" s="23"/>
      <c r="O211" s="24"/>
      <c r="P211" s="24"/>
    </row>
    <row r="212" ht="15.75" customHeight="1">
      <c r="A212" s="23"/>
      <c r="B212" s="23"/>
      <c r="C212" s="23"/>
      <c r="F212" s="23"/>
      <c r="J212" s="23"/>
      <c r="K212" s="23"/>
      <c r="L212" s="23"/>
      <c r="M212" s="23"/>
      <c r="N212" s="23"/>
      <c r="O212" s="24"/>
      <c r="P212" s="24"/>
    </row>
    <row r="213" ht="15.75" customHeight="1">
      <c r="A213" s="23"/>
      <c r="B213" s="23"/>
      <c r="C213" s="23"/>
      <c r="F213" s="23"/>
      <c r="J213" s="23"/>
      <c r="K213" s="23"/>
      <c r="L213" s="23"/>
      <c r="M213" s="23"/>
      <c r="N213" s="23"/>
      <c r="O213" s="24"/>
      <c r="P213" s="24"/>
    </row>
    <row r="214" ht="15.75" customHeight="1">
      <c r="A214" s="23"/>
      <c r="B214" s="23"/>
      <c r="C214" s="23"/>
      <c r="F214" s="23"/>
      <c r="J214" s="23"/>
      <c r="K214" s="23"/>
      <c r="L214" s="23"/>
      <c r="M214" s="23"/>
      <c r="N214" s="23"/>
      <c r="O214" s="24"/>
      <c r="P214" s="24"/>
    </row>
    <row r="215" ht="15.75" customHeight="1">
      <c r="A215" s="23"/>
      <c r="B215" s="23"/>
      <c r="C215" s="23"/>
      <c r="F215" s="23"/>
      <c r="J215" s="23"/>
      <c r="K215" s="23"/>
      <c r="L215" s="23"/>
      <c r="M215" s="23"/>
      <c r="N215" s="23"/>
      <c r="O215" s="24"/>
      <c r="P215" s="24"/>
    </row>
    <row r="216" ht="15.75" customHeight="1">
      <c r="A216" s="23"/>
      <c r="B216" s="23"/>
      <c r="C216" s="23"/>
      <c r="F216" s="23"/>
      <c r="J216" s="23"/>
      <c r="K216" s="23"/>
      <c r="L216" s="23"/>
      <c r="M216" s="23"/>
      <c r="N216" s="23"/>
      <c r="O216" s="24"/>
      <c r="P216" s="24"/>
    </row>
    <row r="217" ht="15.75" customHeight="1">
      <c r="A217" s="23"/>
      <c r="B217" s="23"/>
      <c r="C217" s="23"/>
      <c r="F217" s="23"/>
      <c r="J217" s="23"/>
      <c r="K217" s="23"/>
      <c r="L217" s="23"/>
      <c r="M217" s="23"/>
      <c r="N217" s="23"/>
      <c r="O217" s="24"/>
      <c r="P217" s="24"/>
    </row>
    <row r="218" ht="15.75" customHeight="1">
      <c r="A218" s="23"/>
      <c r="B218" s="23"/>
      <c r="C218" s="23"/>
      <c r="F218" s="23"/>
      <c r="J218" s="23"/>
      <c r="K218" s="23"/>
      <c r="L218" s="23"/>
      <c r="M218" s="23"/>
      <c r="N218" s="23"/>
      <c r="O218" s="24"/>
      <c r="P218" s="24"/>
    </row>
    <row r="219" ht="15.75" customHeight="1">
      <c r="A219" s="23"/>
      <c r="B219" s="23"/>
      <c r="C219" s="23"/>
      <c r="F219" s="23"/>
      <c r="J219" s="23"/>
      <c r="K219" s="23"/>
      <c r="L219" s="23"/>
      <c r="M219" s="23"/>
      <c r="N219" s="23"/>
      <c r="O219" s="24"/>
      <c r="P219" s="24"/>
    </row>
    <row r="220" ht="15.75" customHeight="1">
      <c r="A220" s="23"/>
      <c r="B220" s="23"/>
      <c r="C220" s="23"/>
      <c r="F220" s="23"/>
      <c r="J220" s="23"/>
      <c r="K220" s="23"/>
      <c r="L220" s="23"/>
      <c r="M220" s="23"/>
      <c r="N220" s="23"/>
      <c r="O220" s="24"/>
      <c r="P220" s="24"/>
    </row>
    <row r="221" ht="15.75" customHeight="1">
      <c r="A221" s="23"/>
      <c r="B221" s="23"/>
      <c r="C221" s="23"/>
      <c r="F221" s="23"/>
      <c r="J221" s="23"/>
      <c r="K221" s="23"/>
      <c r="L221" s="23"/>
      <c r="M221" s="23"/>
      <c r="N221" s="23"/>
    </row>
    <row r="222" ht="15.75" customHeight="1">
      <c r="A222" s="23"/>
      <c r="B222" s="23"/>
      <c r="C222" s="23"/>
      <c r="F222" s="23"/>
      <c r="J222" s="23"/>
      <c r="K222" s="23"/>
      <c r="L222" s="23"/>
      <c r="M222" s="23"/>
      <c r="N222" s="23"/>
    </row>
    <row r="223" ht="15.75" customHeight="1">
      <c r="A223" s="23"/>
      <c r="B223" s="23"/>
      <c r="C223" s="23"/>
      <c r="F223" s="23"/>
      <c r="J223" s="23"/>
      <c r="K223" s="23"/>
      <c r="L223" s="23"/>
      <c r="M223" s="23"/>
      <c r="N223" s="23"/>
    </row>
    <row r="224" ht="15.75" customHeight="1">
      <c r="A224" s="23"/>
      <c r="B224" s="23"/>
      <c r="C224" s="23"/>
      <c r="F224" s="23"/>
      <c r="J224" s="23"/>
      <c r="K224" s="23"/>
      <c r="L224" s="23"/>
      <c r="M224" s="23"/>
      <c r="N224" s="23"/>
    </row>
    <row r="225" ht="15.75" customHeight="1">
      <c r="A225" s="23"/>
      <c r="B225" s="23"/>
      <c r="C225" s="23"/>
      <c r="F225" s="23"/>
      <c r="J225" s="23"/>
      <c r="K225" s="23"/>
      <c r="L225" s="23"/>
      <c r="M225" s="23"/>
      <c r="N225" s="23"/>
    </row>
    <row r="226" ht="15.75" customHeight="1">
      <c r="A226" s="23"/>
      <c r="B226" s="23"/>
      <c r="C226" s="23"/>
      <c r="F226" s="23"/>
      <c r="J226" s="23"/>
      <c r="K226" s="23"/>
      <c r="L226" s="23"/>
      <c r="M226" s="23"/>
      <c r="N226" s="23"/>
    </row>
    <row r="227" ht="15.75" customHeight="1">
      <c r="A227" s="23"/>
      <c r="B227" s="23"/>
      <c r="C227" s="23"/>
      <c r="F227" s="23"/>
      <c r="J227" s="23"/>
      <c r="K227" s="23"/>
      <c r="L227" s="23"/>
      <c r="M227" s="23"/>
      <c r="N227" s="23"/>
    </row>
    <row r="228" ht="15.75" customHeight="1">
      <c r="A228" s="23"/>
      <c r="B228" s="23"/>
      <c r="C228" s="23"/>
      <c r="F228" s="23"/>
      <c r="J228" s="23"/>
      <c r="K228" s="23"/>
      <c r="L228" s="23"/>
      <c r="M228" s="23"/>
      <c r="N228" s="23"/>
    </row>
    <row r="229" ht="15.75" customHeight="1">
      <c r="A229" s="23"/>
      <c r="B229" s="23"/>
      <c r="C229" s="23"/>
      <c r="F229" s="23"/>
      <c r="J229" s="23"/>
      <c r="K229" s="23"/>
      <c r="L229" s="23"/>
      <c r="M229" s="23"/>
      <c r="N229" s="23"/>
    </row>
    <row r="230" ht="15.75" customHeight="1">
      <c r="A230" s="23"/>
      <c r="B230" s="23"/>
      <c r="C230" s="23"/>
      <c r="F230" s="23"/>
      <c r="J230" s="23"/>
      <c r="K230" s="23"/>
      <c r="L230" s="23"/>
      <c r="M230" s="23"/>
      <c r="N230" s="23"/>
    </row>
    <row r="231" ht="15.75" customHeight="1">
      <c r="A231" s="23"/>
      <c r="B231" s="23"/>
      <c r="C231" s="23"/>
      <c r="F231" s="23"/>
      <c r="J231" s="23"/>
      <c r="K231" s="23"/>
      <c r="L231" s="23"/>
      <c r="M231" s="23"/>
      <c r="N231" s="23"/>
    </row>
    <row r="232" ht="15.75" customHeight="1">
      <c r="A232" s="23"/>
      <c r="B232" s="23"/>
      <c r="C232" s="23"/>
      <c r="F232" s="23"/>
      <c r="J232" s="23"/>
      <c r="K232" s="23"/>
      <c r="L232" s="23"/>
      <c r="M232" s="23"/>
      <c r="N232" s="23"/>
    </row>
    <row r="233" ht="15.75" customHeight="1">
      <c r="A233" s="23"/>
      <c r="B233" s="23"/>
      <c r="C233" s="23"/>
      <c r="F233" s="23"/>
      <c r="J233" s="23"/>
      <c r="K233" s="23"/>
      <c r="L233" s="23"/>
      <c r="M233" s="23"/>
      <c r="N233" s="23"/>
    </row>
    <row r="234" ht="15.75" customHeight="1">
      <c r="A234" s="23"/>
      <c r="B234" s="23"/>
      <c r="C234" s="23"/>
      <c r="F234" s="23"/>
      <c r="J234" s="23"/>
      <c r="K234" s="23"/>
      <c r="L234" s="23"/>
      <c r="M234" s="23"/>
      <c r="N234" s="23"/>
    </row>
    <row r="235" ht="15.75" customHeight="1">
      <c r="A235" s="23"/>
      <c r="B235" s="23"/>
      <c r="C235" s="23"/>
      <c r="F235" s="23"/>
      <c r="J235" s="23"/>
      <c r="K235" s="23"/>
      <c r="L235" s="23"/>
      <c r="M235" s="23"/>
      <c r="N235" s="23"/>
    </row>
    <row r="236" ht="15.75" customHeight="1">
      <c r="A236" s="23"/>
      <c r="B236" s="23"/>
      <c r="C236" s="23"/>
      <c r="F236" s="23"/>
      <c r="J236" s="23"/>
      <c r="K236" s="23"/>
      <c r="L236" s="23"/>
      <c r="M236" s="23"/>
      <c r="N236" s="23"/>
    </row>
    <row r="237" ht="15.75" customHeight="1">
      <c r="A237" s="23"/>
      <c r="B237" s="23"/>
      <c r="C237" s="23"/>
      <c r="F237" s="23"/>
      <c r="J237" s="23"/>
      <c r="K237" s="23"/>
      <c r="L237" s="23"/>
      <c r="M237" s="23"/>
      <c r="N237" s="23"/>
    </row>
    <row r="238" ht="15.75" customHeight="1">
      <c r="A238" s="23"/>
      <c r="B238" s="23"/>
      <c r="C238" s="23"/>
      <c r="F238" s="23"/>
      <c r="J238" s="23"/>
      <c r="K238" s="23"/>
      <c r="L238" s="23"/>
      <c r="M238" s="23"/>
      <c r="N238" s="23"/>
    </row>
    <row r="239" ht="15.75" customHeight="1">
      <c r="A239" s="23"/>
      <c r="B239" s="23"/>
      <c r="C239" s="23"/>
      <c r="F239" s="23"/>
      <c r="J239" s="23"/>
      <c r="K239" s="23"/>
      <c r="L239" s="23"/>
      <c r="M239" s="23"/>
      <c r="N239" s="23"/>
    </row>
    <row r="240" ht="15.75" customHeight="1">
      <c r="A240" s="23"/>
      <c r="B240" s="23"/>
      <c r="C240" s="23"/>
      <c r="F240" s="23"/>
      <c r="J240" s="23"/>
      <c r="K240" s="23"/>
      <c r="L240" s="23"/>
      <c r="M240" s="23"/>
      <c r="N240" s="23"/>
    </row>
    <row r="241" ht="15.75" customHeight="1">
      <c r="A241" s="23"/>
      <c r="B241" s="23"/>
      <c r="C241" s="23"/>
      <c r="F241" s="23"/>
      <c r="J241" s="23"/>
      <c r="K241" s="23"/>
      <c r="L241" s="23"/>
      <c r="M241" s="23"/>
      <c r="N241" s="23"/>
    </row>
    <row r="242" ht="15.75" customHeight="1">
      <c r="A242" s="23"/>
      <c r="B242" s="23"/>
      <c r="C242" s="23"/>
      <c r="F242" s="23"/>
      <c r="J242" s="23"/>
      <c r="K242" s="23"/>
      <c r="L242" s="23"/>
      <c r="M242" s="23"/>
      <c r="N242" s="23"/>
    </row>
    <row r="243" ht="15.75" customHeight="1">
      <c r="A243" s="23"/>
      <c r="B243" s="23"/>
      <c r="C243" s="23"/>
      <c r="F243" s="23"/>
      <c r="J243" s="23"/>
      <c r="K243" s="23"/>
      <c r="L243" s="23"/>
      <c r="M243" s="23"/>
      <c r="N243" s="23"/>
    </row>
    <row r="244" ht="15.75" customHeight="1">
      <c r="A244" s="23"/>
      <c r="B244" s="23"/>
      <c r="C244" s="23"/>
      <c r="F244" s="23"/>
      <c r="J244" s="23"/>
      <c r="K244" s="23"/>
      <c r="L244" s="23"/>
      <c r="M244" s="23"/>
      <c r="N244" s="23"/>
    </row>
    <row r="245" ht="15.75" customHeight="1">
      <c r="A245" s="23"/>
      <c r="B245" s="23"/>
      <c r="C245" s="23"/>
      <c r="F245" s="23"/>
      <c r="J245" s="23"/>
      <c r="K245" s="23"/>
      <c r="L245" s="23"/>
      <c r="M245" s="23"/>
      <c r="N245" s="23"/>
    </row>
    <row r="246" ht="15.75" customHeight="1">
      <c r="A246" s="23"/>
      <c r="B246" s="23"/>
      <c r="C246" s="23"/>
      <c r="F246" s="23"/>
      <c r="J246" s="23"/>
      <c r="K246" s="23"/>
      <c r="L246" s="23"/>
      <c r="M246" s="23"/>
      <c r="N246" s="23"/>
    </row>
    <row r="247" ht="15.75" customHeight="1">
      <c r="A247" s="23"/>
      <c r="B247" s="23"/>
      <c r="C247" s="23"/>
      <c r="F247" s="23"/>
      <c r="J247" s="23"/>
      <c r="K247" s="23"/>
      <c r="L247" s="23"/>
      <c r="M247" s="23"/>
      <c r="N247" s="23"/>
    </row>
    <row r="248" ht="15.75" customHeight="1">
      <c r="A248" s="23"/>
      <c r="B248" s="23"/>
      <c r="C248" s="23"/>
      <c r="F248" s="23"/>
      <c r="J248" s="23"/>
      <c r="K248" s="23"/>
      <c r="L248" s="23"/>
      <c r="M248" s="23"/>
      <c r="N248" s="23"/>
    </row>
    <row r="249" ht="15.75" customHeight="1">
      <c r="A249" s="23"/>
      <c r="B249" s="23"/>
      <c r="C249" s="23"/>
      <c r="F249" s="23"/>
      <c r="J249" s="23"/>
      <c r="K249" s="23"/>
      <c r="L249" s="23"/>
      <c r="M249" s="23"/>
      <c r="N249" s="23"/>
    </row>
    <row r="250" ht="15.75" customHeight="1">
      <c r="A250" s="23"/>
      <c r="B250" s="23"/>
      <c r="C250" s="23"/>
      <c r="F250" s="23"/>
      <c r="J250" s="23"/>
      <c r="K250" s="23"/>
      <c r="L250" s="23"/>
      <c r="M250" s="23"/>
      <c r="N250" s="23"/>
    </row>
    <row r="251" ht="15.75" customHeight="1">
      <c r="A251" s="23"/>
      <c r="B251" s="23"/>
      <c r="C251" s="23"/>
      <c r="F251" s="23"/>
      <c r="J251" s="23"/>
      <c r="K251" s="23"/>
      <c r="L251" s="23"/>
      <c r="M251" s="23"/>
      <c r="N251" s="23"/>
    </row>
    <row r="252" ht="15.75" customHeight="1">
      <c r="A252" s="23"/>
      <c r="B252" s="23"/>
      <c r="C252" s="23"/>
      <c r="F252" s="23"/>
      <c r="J252" s="23"/>
      <c r="K252" s="23"/>
      <c r="L252" s="23"/>
      <c r="M252" s="23"/>
      <c r="N252" s="23"/>
    </row>
    <row r="253" ht="15.75" customHeight="1">
      <c r="A253" s="23"/>
      <c r="B253" s="23"/>
      <c r="C253" s="23"/>
      <c r="F253" s="23"/>
      <c r="J253" s="23"/>
      <c r="K253" s="23"/>
      <c r="L253" s="23"/>
      <c r="M253" s="23"/>
      <c r="N253" s="23"/>
    </row>
    <row r="254" ht="15.75" customHeight="1">
      <c r="A254" s="23"/>
      <c r="B254" s="23"/>
      <c r="C254" s="23"/>
      <c r="F254" s="23"/>
      <c r="J254" s="23"/>
      <c r="K254" s="23"/>
      <c r="L254" s="23"/>
      <c r="M254" s="23"/>
      <c r="N254" s="23"/>
    </row>
    <row r="255" ht="15.75" customHeight="1">
      <c r="A255" s="23"/>
      <c r="B255" s="23"/>
      <c r="C255" s="23"/>
      <c r="F255" s="23"/>
      <c r="J255" s="23"/>
      <c r="K255" s="23"/>
      <c r="L255" s="23"/>
      <c r="M255" s="23"/>
      <c r="N255" s="23"/>
    </row>
    <row r="256" ht="15.75" customHeight="1">
      <c r="A256" s="23"/>
      <c r="B256" s="23"/>
      <c r="C256" s="23"/>
      <c r="F256" s="23"/>
      <c r="J256" s="23"/>
      <c r="K256" s="23"/>
      <c r="L256" s="23"/>
      <c r="M256" s="23"/>
      <c r="N256" s="23"/>
    </row>
    <row r="257" ht="15.75" customHeight="1">
      <c r="A257" s="23"/>
      <c r="B257" s="23"/>
      <c r="C257" s="23"/>
      <c r="F257" s="23"/>
      <c r="J257" s="23"/>
      <c r="K257" s="23"/>
      <c r="L257" s="23"/>
      <c r="M257" s="23"/>
      <c r="N257" s="23"/>
    </row>
    <row r="258" ht="15.75" customHeight="1">
      <c r="A258" s="23"/>
      <c r="B258" s="23"/>
      <c r="C258" s="23"/>
      <c r="F258" s="23"/>
      <c r="J258" s="23"/>
      <c r="K258" s="23"/>
      <c r="L258" s="23"/>
      <c r="M258" s="23"/>
      <c r="N258" s="23"/>
    </row>
    <row r="259" ht="15.75" customHeight="1">
      <c r="A259" s="23"/>
      <c r="B259" s="23"/>
      <c r="C259" s="23"/>
      <c r="F259" s="23"/>
      <c r="J259" s="23"/>
      <c r="K259" s="23"/>
      <c r="L259" s="23"/>
      <c r="M259" s="23"/>
      <c r="N259" s="23"/>
    </row>
    <row r="260" ht="15.75" customHeight="1">
      <c r="A260" s="23"/>
      <c r="B260" s="23"/>
      <c r="C260" s="23"/>
      <c r="F260" s="23"/>
      <c r="J260" s="23"/>
      <c r="K260" s="23"/>
      <c r="L260" s="23"/>
      <c r="M260" s="23"/>
      <c r="N260" s="23"/>
    </row>
    <row r="261" ht="15.75" customHeight="1">
      <c r="A261" s="23"/>
      <c r="B261" s="23"/>
      <c r="C261" s="23"/>
      <c r="F261" s="23"/>
      <c r="J261" s="23"/>
      <c r="K261" s="23"/>
      <c r="L261" s="23"/>
      <c r="M261" s="23"/>
      <c r="N261" s="23"/>
    </row>
    <row r="262" ht="15.75" customHeight="1">
      <c r="A262" s="23"/>
      <c r="B262" s="23"/>
      <c r="C262" s="23"/>
      <c r="F262" s="23"/>
      <c r="J262" s="23"/>
      <c r="K262" s="23"/>
      <c r="L262" s="23"/>
      <c r="M262" s="23"/>
      <c r="N262" s="23"/>
    </row>
    <row r="263" ht="15.75" customHeight="1">
      <c r="A263" s="23"/>
      <c r="B263" s="23"/>
      <c r="C263" s="23"/>
      <c r="F263" s="23"/>
      <c r="J263" s="23"/>
      <c r="K263" s="23"/>
      <c r="L263" s="23"/>
      <c r="M263" s="23"/>
      <c r="N263" s="23"/>
    </row>
    <row r="264" ht="15.75" customHeight="1">
      <c r="A264" s="23"/>
      <c r="B264" s="23"/>
      <c r="C264" s="23"/>
      <c r="F264" s="23"/>
      <c r="J264" s="23"/>
      <c r="K264" s="23"/>
      <c r="L264" s="23"/>
      <c r="M264" s="23"/>
      <c r="N264" s="23"/>
    </row>
    <row r="265" ht="15.75" customHeight="1">
      <c r="A265" s="23"/>
      <c r="B265" s="23"/>
      <c r="C265" s="23"/>
      <c r="F265" s="23"/>
      <c r="J265" s="23"/>
      <c r="K265" s="23"/>
      <c r="L265" s="23"/>
      <c r="M265" s="23"/>
      <c r="N265" s="23"/>
    </row>
    <row r="266" ht="15.75" customHeight="1">
      <c r="A266" s="23"/>
      <c r="B266" s="23"/>
      <c r="C266" s="23"/>
      <c r="F266" s="23"/>
      <c r="J266" s="23"/>
      <c r="K266" s="23"/>
      <c r="L266" s="23"/>
      <c r="M266" s="23"/>
      <c r="N266" s="23"/>
    </row>
    <row r="267" ht="15.75" customHeight="1">
      <c r="A267" s="23"/>
      <c r="B267" s="23"/>
      <c r="C267" s="23"/>
      <c r="F267" s="23"/>
      <c r="J267" s="23"/>
      <c r="K267" s="23"/>
      <c r="L267" s="23"/>
      <c r="M267" s="23"/>
      <c r="N267" s="23"/>
    </row>
    <row r="268" ht="15.75" customHeight="1">
      <c r="A268" s="23"/>
      <c r="B268" s="23"/>
      <c r="C268" s="23"/>
      <c r="F268" s="23"/>
      <c r="J268" s="23"/>
      <c r="K268" s="23"/>
      <c r="L268" s="23"/>
      <c r="M268" s="23"/>
      <c r="N268" s="23"/>
    </row>
    <row r="269" ht="15.75" customHeight="1">
      <c r="A269" s="23"/>
      <c r="B269" s="23"/>
      <c r="C269" s="23"/>
      <c r="F269" s="23"/>
      <c r="J269" s="23"/>
      <c r="K269" s="23"/>
      <c r="L269" s="23"/>
      <c r="M269" s="23"/>
      <c r="N269" s="23"/>
    </row>
    <row r="270" ht="15.75" customHeight="1">
      <c r="A270" s="23"/>
      <c r="B270" s="23"/>
      <c r="C270" s="23"/>
      <c r="F270" s="23"/>
      <c r="J270" s="23"/>
      <c r="K270" s="23"/>
      <c r="L270" s="23"/>
      <c r="M270" s="23"/>
      <c r="N270" s="23"/>
    </row>
    <row r="271" ht="15.75" customHeight="1">
      <c r="A271" s="23"/>
      <c r="B271" s="23"/>
      <c r="C271" s="23"/>
      <c r="F271" s="23"/>
      <c r="J271" s="23"/>
      <c r="K271" s="23"/>
      <c r="L271" s="23"/>
      <c r="M271" s="23"/>
      <c r="N271" s="23"/>
    </row>
    <row r="272" ht="15.75" customHeight="1">
      <c r="A272" s="23"/>
      <c r="B272" s="23"/>
      <c r="C272" s="23"/>
      <c r="F272" s="23"/>
      <c r="J272" s="23"/>
      <c r="K272" s="23"/>
      <c r="L272" s="23"/>
      <c r="M272" s="23"/>
      <c r="N272" s="23"/>
    </row>
    <row r="273" ht="15.75" customHeight="1">
      <c r="A273" s="23"/>
      <c r="B273" s="23"/>
      <c r="C273" s="23"/>
      <c r="F273" s="23"/>
      <c r="J273" s="23"/>
      <c r="K273" s="23"/>
      <c r="L273" s="23"/>
      <c r="M273" s="23"/>
      <c r="N273" s="23"/>
    </row>
    <row r="274" ht="15.75" customHeight="1">
      <c r="A274" s="23"/>
      <c r="B274" s="23"/>
      <c r="C274" s="23"/>
      <c r="F274" s="23"/>
      <c r="J274" s="23"/>
      <c r="K274" s="23"/>
      <c r="L274" s="23"/>
      <c r="M274" s="23"/>
      <c r="N274" s="23"/>
    </row>
    <row r="275" ht="15.75" customHeight="1">
      <c r="A275" s="23"/>
      <c r="B275" s="23"/>
      <c r="C275" s="23"/>
      <c r="F275" s="23"/>
      <c r="J275" s="23"/>
      <c r="K275" s="23"/>
      <c r="L275" s="23"/>
      <c r="M275" s="23"/>
      <c r="N275" s="23"/>
    </row>
    <row r="276" ht="15.75" customHeight="1">
      <c r="A276" s="23"/>
      <c r="B276" s="23"/>
      <c r="C276" s="23"/>
      <c r="F276" s="23"/>
      <c r="J276" s="23"/>
      <c r="K276" s="23"/>
      <c r="L276" s="23"/>
      <c r="M276" s="23"/>
      <c r="N276" s="23"/>
    </row>
    <row r="277" ht="15.75" customHeight="1">
      <c r="A277" s="23"/>
      <c r="B277" s="23"/>
      <c r="C277" s="23"/>
      <c r="F277" s="23"/>
      <c r="J277" s="23"/>
      <c r="K277" s="23"/>
      <c r="L277" s="23"/>
      <c r="M277" s="23"/>
      <c r="N277" s="23"/>
    </row>
    <row r="278" ht="15.75" customHeight="1">
      <c r="A278" s="23"/>
      <c r="B278" s="23"/>
      <c r="C278" s="23"/>
      <c r="F278" s="23"/>
      <c r="J278" s="23"/>
      <c r="K278" s="23"/>
      <c r="L278" s="23"/>
      <c r="M278" s="23"/>
      <c r="N278" s="23"/>
    </row>
    <row r="279" ht="15.75" customHeight="1">
      <c r="A279" s="23"/>
      <c r="B279" s="23"/>
      <c r="C279" s="23"/>
      <c r="F279" s="23"/>
      <c r="J279" s="23"/>
      <c r="K279" s="23"/>
      <c r="L279" s="23"/>
      <c r="M279" s="23"/>
      <c r="N279" s="23"/>
    </row>
    <row r="280" ht="15.75" customHeight="1">
      <c r="A280" s="23"/>
      <c r="B280" s="23"/>
      <c r="C280" s="23"/>
      <c r="F280" s="23"/>
      <c r="J280" s="23"/>
      <c r="K280" s="23"/>
      <c r="L280" s="23"/>
      <c r="M280" s="23"/>
      <c r="N280" s="23"/>
    </row>
    <row r="281" ht="15.75" customHeight="1">
      <c r="A281" s="23"/>
      <c r="B281" s="23"/>
      <c r="C281" s="23"/>
      <c r="F281" s="23"/>
      <c r="J281" s="23"/>
      <c r="K281" s="23"/>
      <c r="L281" s="23"/>
      <c r="M281" s="23"/>
      <c r="N281" s="23"/>
    </row>
    <row r="282" ht="15.75" customHeight="1">
      <c r="A282" s="23"/>
      <c r="B282" s="23"/>
      <c r="C282" s="23"/>
      <c r="F282" s="23"/>
      <c r="J282" s="23"/>
      <c r="K282" s="23"/>
      <c r="L282" s="23"/>
      <c r="M282" s="23"/>
      <c r="N282" s="23"/>
    </row>
    <row r="283" ht="15.75" customHeight="1">
      <c r="A283" s="23"/>
      <c r="B283" s="23"/>
      <c r="C283" s="23"/>
      <c r="F283" s="23"/>
      <c r="J283" s="23"/>
      <c r="K283" s="23"/>
      <c r="L283" s="23"/>
      <c r="M283" s="23"/>
      <c r="N283" s="23"/>
    </row>
    <row r="284" ht="15.75" customHeight="1">
      <c r="A284" s="23"/>
      <c r="B284" s="23"/>
      <c r="C284" s="23"/>
      <c r="F284" s="23"/>
      <c r="J284" s="23"/>
      <c r="K284" s="23"/>
      <c r="L284" s="23"/>
      <c r="M284" s="23"/>
      <c r="N284" s="23"/>
    </row>
    <row r="285" ht="15.75" customHeight="1">
      <c r="A285" s="23"/>
      <c r="B285" s="23"/>
      <c r="C285" s="23"/>
      <c r="F285" s="23"/>
      <c r="J285" s="23"/>
      <c r="K285" s="23"/>
      <c r="L285" s="23"/>
      <c r="M285" s="23"/>
      <c r="N285" s="23"/>
    </row>
    <row r="286" ht="15.75" customHeight="1">
      <c r="A286" s="23"/>
      <c r="B286" s="23"/>
      <c r="C286" s="23"/>
      <c r="F286" s="23"/>
      <c r="J286" s="23"/>
      <c r="K286" s="23"/>
      <c r="L286" s="23"/>
      <c r="M286" s="23"/>
      <c r="N286" s="23"/>
    </row>
    <row r="287" ht="15.75" customHeight="1">
      <c r="A287" s="23"/>
      <c r="B287" s="23"/>
      <c r="C287" s="23"/>
      <c r="F287" s="23"/>
      <c r="J287" s="23"/>
      <c r="K287" s="23"/>
      <c r="L287" s="23"/>
      <c r="M287" s="23"/>
      <c r="N287" s="23"/>
    </row>
    <row r="288" ht="15.75" customHeight="1">
      <c r="A288" s="23"/>
      <c r="B288" s="23"/>
      <c r="C288" s="23"/>
      <c r="F288" s="23"/>
      <c r="J288" s="23"/>
      <c r="K288" s="23"/>
      <c r="L288" s="23"/>
      <c r="M288" s="23"/>
      <c r="N288" s="23"/>
    </row>
    <row r="289" ht="15.75" customHeight="1">
      <c r="A289" s="23"/>
      <c r="B289" s="23"/>
      <c r="C289" s="23"/>
      <c r="F289" s="23"/>
      <c r="J289" s="23"/>
      <c r="K289" s="23"/>
      <c r="L289" s="23"/>
      <c r="M289" s="23"/>
      <c r="N289" s="23"/>
    </row>
    <row r="290" ht="15.75" customHeight="1">
      <c r="A290" s="23"/>
      <c r="B290" s="23"/>
      <c r="C290" s="23"/>
      <c r="F290" s="23"/>
      <c r="J290" s="23"/>
      <c r="K290" s="23"/>
      <c r="L290" s="23"/>
      <c r="M290" s="23"/>
      <c r="N290" s="23"/>
    </row>
    <row r="291" ht="15.75" customHeight="1">
      <c r="A291" s="23"/>
      <c r="B291" s="23"/>
      <c r="C291" s="23"/>
      <c r="F291" s="23"/>
      <c r="J291" s="23"/>
      <c r="K291" s="23"/>
      <c r="L291" s="23"/>
      <c r="M291" s="23"/>
      <c r="N291" s="23"/>
    </row>
    <row r="292" ht="15.75" customHeight="1">
      <c r="A292" s="23"/>
      <c r="B292" s="23"/>
      <c r="C292" s="23"/>
      <c r="F292" s="23"/>
      <c r="J292" s="23"/>
      <c r="K292" s="23"/>
      <c r="L292" s="23"/>
      <c r="M292" s="23"/>
      <c r="N292" s="23"/>
    </row>
    <row r="293" ht="15.75" customHeight="1">
      <c r="A293" s="23"/>
      <c r="B293" s="23"/>
      <c r="C293" s="23"/>
      <c r="F293" s="23"/>
      <c r="J293" s="23"/>
      <c r="K293" s="23"/>
      <c r="L293" s="23"/>
      <c r="M293" s="23"/>
      <c r="N293" s="23"/>
    </row>
    <row r="294" ht="15.75" customHeight="1">
      <c r="A294" s="23"/>
      <c r="B294" s="23"/>
      <c r="C294" s="23"/>
      <c r="F294" s="23"/>
      <c r="J294" s="23"/>
      <c r="K294" s="23"/>
      <c r="L294" s="23"/>
      <c r="M294" s="23"/>
      <c r="N294" s="23"/>
    </row>
    <row r="295" ht="15.75" customHeight="1">
      <c r="A295" s="23"/>
      <c r="B295" s="23"/>
      <c r="C295" s="23"/>
      <c r="F295" s="23"/>
      <c r="J295" s="23"/>
      <c r="K295" s="23"/>
      <c r="L295" s="23"/>
      <c r="M295" s="23"/>
      <c r="N295" s="23"/>
    </row>
    <row r="296" ht="15.75" customHeight="1">
      <c r="A296" s="23"/>
      <c r="B296" s="23"/>
      <c r="C296" s="23"/>
      <c r="F296" s="23"/>
      <c r="J296" s="23"/>
      <c r="K296" s="23"/>
      <c r="L296" s="23"/>
      <c r="M296" s="23"/>
      <c r="N296" s="23"/>
    </row>
    <row r="297" ht="15.75" customHeight="1">
      <c r="A297" s="23"/>
      <c r="B297" s="23"/>
      <c r="C297" s="23"/>
      <c r="F297" s="23"/>
      <c r="J297" s="23"/>
      <c r="K297" s="23"/>
      <c r="L297" s="23"/>
      <c r="M297" s="23"/>
      <c r="N297" s="23"/>
    </row>
    <row r="298" ht="15.75" customHeight="1">
      <c r="A298" s="23"/>
      <c r="B298" s="23"/>
      <c r="C298" s="23"/>
      <c r="F298" s="23"/>
      <c r="J298" s="23"/>
      <c r="K298" s="23"/>
      <c r="L298" s="23"/>
      <c r="M298" s="23"/>
      <c r="N298" s="23"/>
    </row>
    <row r="299" ht="15.75" customHeight="1">
      <c r="A299" s="23"/>
      <c r="B299" s="23"/>
      <c r="C299" s="23"/>
      <c r="F299" s="23"/>
      <c r="J299" s="23"/>
      <c r="K299" s="23"/>
      <c r="L299" s="23"/>
      <c r="M299" s="23"/>
      <c r="N299" s="23"/>
    </row>
    <row r="300" ht="15.75" customHeight="1">
      <c r="A300" s="23"/>
      <c r="B300" s="23"/>
      <c r="C300" s="23"/>
      <c r="F300" s="23"/>
      <c r="J300" s="23"/>
      <c r="K300" s="23"/>
      <c r="L300" s="23"/>
      <c r="M300" s="23"/>
      <c r="N300" s="23"/>
    </row>
    <row r="301" ht="15.75" customHeight="1">
      <c r="A301" s="23"/>
      <c r="B301" s="23"/>
      <c r="C301" s="23"/>
      <c r="F301" s="23"/>
      <c r="J301" s="23"/>
      <c r="K301" s="23"/>
      <c r="L301" s="23"/>
      <c r="M301" s="23"/>
      <c r="N301" s="23"/>
    </row>
    <row r="302" ht="15.75" customHeight="1">
      <c r="A302" s="23"/>
      <c r="B302" s="23"/>
      <c r="C302" s="23"/>
      <c r="F302" s="23"/>
      <c r="J302" s="23"/>
      <c r="K302" s="23"/>
      <c r="L302" s="23"/>
      <c r="M302" s="23"/>
      <c r="N302" s="23"/>
    </row>
    <row r="303" ht="15.75" customHeight="1">
      <c r="A303" s="23"/>
      <c r="B303" s="23"/>
      <c r="C303" s="23"/>
      <c r="F303" s="23"/>
      <c r="J303" s="23"/>
      <c r="K303" s="23"/>
      <c r="L303" s="23"/>
      <c r="M303" s="23"/>
      <c r="N303" s="23"/>
    </row>
    <row r="304" ht="15.75" customHeight="1">
      <c r="A304" s="23"/>
      <c r="B304" s="23"/>
      <c r="C304" s="23"/>
      <c r="F304" s="23"/>
      <c r="J304" s="23"/>
      <c r="K304" s="23"/>
      <c r="L304" s="23"/>
      <c r="M304" s="23"/>
      <c r="N304" s="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04"/>
  <mergeCells count="3">
    <mergeCell ref="A1:Q1"/>
    <mergeCell ref="A2:Q2"/>
    <mergeCell ref="A3:Q3"/>
  </mergeCells>
  <dataValidations>
    <dataValidation type="list" allowBlank="1" showInputMessage="1" showErrorMessage="1" prompt="Слой модели" sqref="K5:K304">
      <formula1>'Система'!$B$33:$B$34</formula1>
    </dataValidation>
    <dataValidation type="list" allowBlank="1" showInputMessage="1" showErrorMessage="1" prompt="Производственная система" sqref="B5:B304">
      <formula1>'Система'!$W$33:$W$232</formula1>
    </dataValidation>
    <dataValidation type="custom" allowBlank="1" showDropDown="1" showInputMessage="1" showErrorMessage="1" prompt="Стабильный ID формата elm-..." sqref="A5:A304">
      <formula1>OR(A5="",REGEXMATCH(A5,"^elm-[A-Za-z0-9._-]+$"))</formula1>
    </dataValidation>
    <dataValidation type="list" allowBlank="1" showInputMessage="1" showErrorMessage="1" prompt="Версия" sqref="L5:L304">
      <formula1>'Система'!$AE$33:$AE$132</formula1>
    </dataValidation>
    <dataValidation type="list" allowBlank="1" showInputMessage="1" showErrorMessage="1" prompt="Тип элемента" sqref="C5:C304">
      <formula1>'Система'!$H$33:$H$42</formula1>
    </dataValidation>
    <dataValidation type="list" allowBlank="1" showInputMessage="1" showErrorMessage="1" prompt="Статус знания" sqref="M5:M304">
      <formula1>'Система'!$A$33:$A$38</formula1>
    </dataValidation>
    <dataValidation type="list" allowBlank="1" showInputMessage="1" showErrorMessage="1" prompt="Владелец" sqref="F5:F304">
      <formula1>'Система'!$AC$33:$AC$232</formula1>
    </dataValidation>
    <dataValidation type="list" allowBlank="1" showInputMessage="1" showErrorMessage="1" prompt="Источник" sqref="N5:N304">
      <formula1>'Система'!$AF$33:$AF$232</formula1>
    </dataValidation>
    <dataValidation type="list" allowBlank="1" showInputMessage="1" showErrorMessage="1" prompt="Канонический источник данных" sqref="J5:J304">
      <formula1>'Система'!$AD$33:$AD$332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4" width="15.0"/>
    <col customWidth="1" min="5" max="6" width="20.0"/>
    <col customWidth="1" min="7" max="8" width="31.13"/>
    <col customWidth="1" min="9" max="9" width="15.0"/>
    <col customWidth="1" min="10" max="10" width="20.0"/>
    <col customWidth="1" min="11" max="15" width="15.0"/>
    <col customWidth="1" min="16" max="16" width="12.25"/>
    <col customWidth="1" min="17" max="17" width="31.13"/>
    <col customWidth="1" min="18" max="26" width="8.63"/>
  </cols>
  <sheetData>
    <row r="1" ht="25.5" customHeight="1">
      <c r="A1" s="1" t="s">
        <v>615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2.5" customHeight="1">
      <c r="A2" s="4" t="s">
        <v>616</v>
      </c>
    </row>
    <row r="3" ht="19.5" customHeight="1">
      <c r="A3" s="7" t="s">
        <v>8</v>
      </c>
    </row>
    <row r="4" ht="39.0" customHeight="1">
      <c r="A4" s="10" t="s">
        <v>617</v>
      </c>
      <c r="B4" s="10" t="s">
        <v>618</v>
      </c>
      <c r="C4" s="10" t="s">
        <v>619</v>
      </c>
      <c r="D4" s="10" t="s">
        <v>620</v>
      </c>
      <c r="E4" s="10" t="s">
        <v>621</v>
      </c>
      <c r="F4" s="10" t="s">
        <v>622</v>
      </c>
      <c r="G4" s="13" t="s">
        <v>623</v>
      </c>
      <c r="H4" s="10" t="s">
        <v>210</v>
      </c>
      <c r="I4" s="13" t="s">
        <v>624</v>
      </c>
      <c r="J4" s="13" t="s">
        <v>625</v>
      </c>
      <c r="K4" s="13" t="s">
        <v>626</v>
      </c>
      <c r="L4" s="10" t="s">
        <v>438</v>
      </c>
      <c r="M4" s="10" t="s">
        <v>545</v>
      </c>
      <c r="N4" s="10" t="s">
        <v>36</v>
      </c>
      <c r="O4" s="10" t="s">
        <v>38</v>
      </c>
      <c r="P4" s="10" t="s">
        <v>40</v>
      </c>
      <c r="Q4" s="13" t="s">
        <v>52</v>
      </c>
    </row>
    <row r="5">
      <c r="A5" s="23"/>
      <c r="B5" s="23"/>
      <c r="C5" s="23"/>
      <c r="D5" s="23"/>
      <c r="I5" s="23"/>
      <c r="K5" s="23"/>
      <c r="L5" s="23"/>
      <c r="M5" s="23"/>
      <c r="N5" s="23"/>
      <c r="O5" s="23"/>
      <c r="P5" s="24"/>
    </row>
    <row r="6">
      <c r="A6" s="23"/>
      <c r="B6" s="23"/>
      <c r="C6" s="23"/>
      <c r="D6" s="23"/>
      <c r="I6" s="23"/>
      <c r="K6" s="23"/>
      <c r="L6" s="23"/>
      <c r="M6" s="23"/>
      <c r="N6" s="23"/>
      <c r="O6" s="23"/>
      <c r="P6" s="24"/>
    </row>
    <row r="7">
      <c r="A7" s="23"/>
      <c r="B7" s="23"/>
      <c r="C7" s="23"/>
      <c r="D7" s="23"/>
      <c r="I7" s="23"/>
      <c r="K7" s="23"/>
      <c r="L7" s="23"/>
      <c r="M7" s="23"/>
      <c r="N7" s="23"/>
      <c r="O7" s="23"/>
      <c r="P7" s="24"/>
    </row>
    <row r="8">
      <c r="A8" s="23"/>
      <c r="B8" s="23"/>
      <c r="C8" s="23"/>
      <c r="D8" s="23"/>
      <c r="I8" s="23"/>
      <c r="K8" s="23"/>
      <c r="L8" s="23"/>
      <c r="M8" s="23"/>
      <c r="N8" s="23"/>
      <c r="O8" s="23"/>
      <c r="P8" s="24"/>
    </row>
    <row r="9">
      <c r="A9" s="23"/>
      <c r="B9" s="23"/>
      <c r="C9" s="23"/>
      <c r="D9" s="23"/>
      <c r="I9" s="23"/>
      <c r="K9" s="23"/>
      <c r="L9" s="23"/>
      <c r="M9" s="23"/>
      <c r="N9" s="23"/>
      <c r="O9" s="23"/>
      <c r="P9" s="24"/>
    </row>
    <row r="10">
      <c r="A10" s="23"/>
      <c r="B10" s="23"/>
      <c r="C10" s="23"/>
      <c r="D10" s="23"/>
      <c r="I10" s="23"/>
      <c r="K10" s="23"/>
      <c r="L10" s="23"/>
      <c r="M10" s="23"/>
      <c r="N10" s="23"/>
      <c r="O10" s="23"/>
      <c r="P10" s="24"/>
    </row>
    <row r="11">
      <c r="A11" s="23"/>
      <c r="B11" s="23"/>
      <c r="C11" s="23"/>
      <c r="D11" s="23"/>
      <c r="I11" s="23"/>
      <c r="K11" s="23"/>
      <c r="L11" s="23"/>
      <c r="M11" s="23"/>
      <c r="N11" s="23"/>
      <c r="O11" s="23"/>
      <c r="P11" s="24"/>
    </row>
    <row r="12">
      <c r="A12" s="23"/>
      <c r="B12" s="23"/>
      <c r="C12" s="23"/>
      <c r="D12" s="23"/>
      <c r="I12" s="23"/>
      <c r="K12" s="23"/>
      <c r="L12" s="23"/>
      <c r="M12" s="23"/>
      <c r="N12" s="23"/>
      <c r="O12" s="23"/>
      <c r="P12" s="24"/>
    </row>
    <row r="13">
      <c r="A13" s="23"/>
      <c r="B13" s="23"/>
      <c r="C13" s="23"/>
      <c r="D13" s="23"/>
      <c r="I13" s="23"/>
      <c r="K13" s="23"/>
      <c r="L13" s="23"/>
      <c r="M13" s="23"/>
      <c r="N13" s="23"/>
      <c r="O13" s="23"/>
      <c r="P13" s="24"/>
    </row>
    <row r="14">
      <c r="A14" s="23"/>
      <c r="B14" s="23"/>
      <c r="C14" s="23"/>
      <c r="D14" s="23"/>
      <c r="I14" s="23"/>
      <c r="K14" s="23"/>
      <c r="L14" s="23"/>
      <c r="M14" s="23"/>
      <c r="N14" s="23"/>
      <c r="O14" s="23"/>
      <c r="P14" s="24"/>
    </row>
    <row r="15">
      <c r="A15" s="23"/>
      <c r="B15" s="23"/>
      <c r="C15" s="23"/>
      <c r="D15" s="23"/>
      <c r="I15" s="23"/>
      <c r="K15" s="23"/>
      <c r="L15" s="23"/>
      <c r="M15" s="23"/>
      <c r="N15" s="23"/>
      <c r="O15" s="23"/>
      <c r="P15" s="24"/>
    </row>
    <row r="16">
      <c r="A16" s="23"/>
      <c r="B16" s="23"/>
      <c r="C16" s="23"/>
      <c r="D16" s="23"/>
      <c r="I16" s="23"/>
      <c r="K16" s="23"/>
      <c r="L16" s="23"/>
      <c r="M16" s="23"/>
      <c r="N16" s="23"/>
      <c r="O16" s="23"/>
      <c r="P16" s="24"/>
    </row>
    <row r="17">
      <c r="A17" s="23"/>
      <c r="B17" s="23"/>
      <c r="C17" s="23"/>
      <c r="D17" s="23"/>
      <c r="I17" s="23"/>
      <c r="K17" s="23"/>
      <c r="L17" s="23"/>
      <c r="M17" s="23"/>
      <c r="N17" s="23"/>
      <c r="O17" s="23"/>
      <c r="P17" s="24"/>
    </row>
    <row r="18">
      <c r="A18" s="23"/>
      <c r="B18" s="23"/>
      <c r="C18" s="23"/>
      <c r="D18" s="23"/>
      <c r="I18" s="23"/>
      <c r="K18" s="23"/>
      <c r="L18" s="23"/>
      <c r="M18" s="23"/>
      <c r="N18" s="23"/>
      <c r="O18" s="23"/>
      <c r="P18" s="24"/>
    </row>
    <row r="19">
      <c r="A19" s="23"/>
      <c r="B19" s="23"/>
      <c r="C19" s="23"/>
      <c r="D19" s="23"/>
      <c r="I19" s="23"/>
      <c r="K19" s="23"/>
      <c r="L19" s="23"/>
      <c r="M19" s="23"/>
      <c r="N19" s="23"/>
      <c r="O19" s="23"/>
      <c r="P19" s="24"/>
    </row>
    <row r="20">
      <c r="A20" s="23"/>
      <c r="B20" s="23"/>
      <c r="C20" s="23"/>
      <c r="D20" s="23"/>
      <c r="I20" s="23"/>
      <c r="K20" s="23"/>
      <c r="L20" s="23"/>
      <c r="M20" s="23"/>
      <c r="N20" s="23"/>
      <c r="O20" s="23"/>
      <c r="P20" s="24"/>
    </row>
    <row r="21" ht="15.75" customHeight="1">
      <c r="A21" s="23"/>
      <c r="B21" s="23"/>
      <c r="C21" s="23"/>
      <c r="D21" s="23"/>
      <c r="I21" s="23"/>
      <c r="K21" s="23"/>
      <c r="L21" s="23"/>
      <c r="M21" s="23"/>
      <c r="N21" s="23"/>
      <c r="O21" s="23"/>
      <c r="P21" s="24"/>
    </row>
    <row r="22" ht="15.75" customHeight="1">
      <c r="A22" s="23"/>
      <c r="B22" s="23"/>
      <c r="C22" s="23"/>
      <c r="D22" s="23"/>
      <c r="I22" s="23"/>
      <c r="K22" s="23"/>
      <c r="L22" s="23"/>
      <c r="M22" s="23"/>
      <c r="N22" s="23"/>
      <c r="O22" s="23"/>
      <c r="P22" s="24"/>
    </row>
    <row r="23" ht="15.75" customHeight="1">
      <c r="A23" s="23"/>
      <c r="B23" s="23"/>
      <c r="C23" s="23"/>
      <c r="D23" s="23"/>
      <c r="I23" s="23"/>
      <c r="K23" s="23"/>
      <c r="L23" s="23"/>
      <c r="M23" s="23"/>
      <c r="N23" s="23"/>
      <c r="O23" s="23"/>
      <c r="P23" s="24"/>
    </row>
    <row r="24" ht="15.75" customHeight="1">
      <c r="A24" s="23"/>
      <c r="B24" s="23"/>
      <c r="C24" s="23"/>
      <c r="D24" s="23"/>
      <c r="I24" s="23"/>
      <c r="K24" s="23"/>
      <c r="L24" s="23"/>
      <c r="M24" s="23"/>
      <c r="N24" s="23"/>
      <c r="O24" s="23"/>
      <c r="P24" s="24"/>
    </row>
    <row r="25" ht="15.75" customHeight="1">
      <c r="A25" s="23"/>
      <c r="B25" s="23"/>
      <c r="C25" s="23"/>
      <c r="D25" s="23"/>
      <c r="I25" s="23"/>
      <c r="K25" s="23"/>
      <c r="L25" s="23"/>
      <c r="M25" s="23"/>
      <c r="N25" s="23"/>
      <c r="O25" s="23"/>
      <c r="P25" s="24"/>
    </row>
    <row r="26" ht="15.75" customHeight="1">
      <c r="A26" s="23"/>
      <c r="B26" s="23"/>
      <c r="C26" s="23"/>
      <c r="D26" s="23"/>
      <c r="I26" s="23"/>
      <c r="K26" s="23"/>
      <c r="L26" s="23"/>
      <c r="M26" s="23"/>
      <c r="N26" s="23"/>
      <c r="O26" s="23"/>
      <c r="P26" s="24"/>
    </row>
    <row r="27" ht="15.75" customHeight="1">
      <c r="A27" s="23"/>
      <c r="B27" s="23"/>
      <c r="C27" s="23"/>
      <c r="D27" s="23"/>
      <c r="I27" s="23"/>
      <c r="K27" s="23"/>
      <c r="L27" s="23"/>
      <c r="M27" s="23"/>
      <c r="N27" s="23"/>
      <c r="O27" s="23"/>
      <c r="P27" s="24"/>
    </row>
    <row r="28" ht="15.75" customHeight="1">
      <c r="A28" s="23"/>
      <c r="B28" s="23"/>
      <c r="C28" s="23"/>
      <c r="D28" s="23"/>
      <c r="I28" s="23"/>
      <c r="K28" s="23"/>
      <c r="L28" s="23"/>
      <c r="M28" s="23"/>
      <c r="N28" s="23"/>
      <c r="O28" s="23"/>
      <c r="P28" s="24"/>
    </row>
    <row r="29" ht="15.75" customHeight="1">
      <c r="A29" s="23"/>
      <c r="B29" s="23"/>
      <c r="C29" s="23"/>
      <c r="D29" s="23"/>
      <c r="I29" s="23"/>
      <c r="K29" s="23"/>
      <c r="L29" s="23"/>
      <c r="M29" s="23"/>
      <c r="N29" s="23"/>
      <c r="O29" s="23"/>
      <c r="P29" s="24"/>
    </row>
    <row r="30" ht="15.75" customHeight="1">
      <c r="A30" s="23"/>
      <c r="B30" s="23"/>
      <c r="C30" s="23"/>
      <c r="D30" s="23"/>
      <c r="I30" s="23"/>
      <c r="K30" s="23"/>
      <c r="L30" s="23"/>
      <c r="M30" s="23"/>
      <c r="N30" s="23"/>
      <c r="O30" s="23"/>
      <c r="P30" s="24"/>
    </row>
    <row r="31" ht="15.75" customHeight="1">
      <c r="A31" s="23"/>
      <c r="B31" s="23"/>
      <c r="C31" s="23"/>
      <c r="D31" s="23"/>
      <c r="I31" s="23"/>
      <c r="K31" s="23"/>
      <c r="L31" s="23"/>
      <c r="M31" s="23"/>
      <c r="N31" s="23"/>
      <c r="O31" s="23"/>
      <c r="P31" s="24"/>
    </row>
    <row r="32" ht="15.75" customHeight="1">
      <c r="A32" s="23"/>
      <c r="B32" s="23"/>
      <c r="C32" s="23"/>
      <c r="D32" s="23"/>
      <c r="I32" s="23"/>
      <c r="K32" s="23"/>
      <c r="L32" s="23"/>
      <c r="M32" s="23"/>
      <c r="N32" s="23"/>
      <c r="O32" s="23"/>
      <c r="P32" s="24"/>
    </row>
    <row r="33" ht="15.75" customHeight="1">
      <c r="A33" s="23"/>
      <c r="B33" s="23"/>
      <c r="C33" s="23"/>
      <c r="D33" s="23"/>
      <c r="I33" s="23"/>
      <c r="K33" s="23"/>
      <c r="L33" s="23"/>
      <c r="M33" s="23"/>
      <c r="N33" s="23"/>
      <c r="O33" s="23"/>
      <c r="P33" s="24"/>
    </row>
    <row r="34" ht="15.75" customHeight="1">
      <c r="A34" s="23"/>
      <c r="B34" s="23"/>
      <c r="C34" s="23"/>
      <c r="D34" s="23"/>
      <c r="I34" s="23"/>
      <c r="K34" s="23"/>
      <c r="L34" s="23"/>
      <c r="M34" s="23"/>
      <c r="N34" s="23"/>
      <c r="O34" s="23"/>
      <c r="P34" s="24"/>
    </row>
    <row r="35" ht="15.75" customHeight="1">
      <c r="A35" s="23"/>
      <c r="B35" s="23"/>
      <c r="C35" s="23"/>
      <c r="D35" s="23"/>
      <c r="I35" s="23"/>
      <c r="K35" s="23"/>
      <c r="L35" s="23"/>
      <c r="M35" s="23"/>
      <c r="N35" s="23"/>
      <c r="O35" s="23"/>
      <c r="P35" s="24"/>
    </row>
    <row r="36" ht="15.75" customHeight="1">
      <c r="A36" s="23"/>
      <c r="B36" s="23"/>
      <c r="C36" s="23"/>
      <c r="D36" s="23"/>
      <c r="I36" s="23"/>
      <c r="K36" s="23"/>
      <c r="L36" s="23"/>
      <c r="M36" s="23"/>
      <c r="N36" s="23"/>
      <c r="O36" s="23"/>
      <c r="P36" s="24"/>
    </row>
    <row r="37" ht="15.75" customHeight="1">
      <c r="A37" s="23"/>
      <c r="B37" s="23"/>
      <c r="C37" s="23"/>
      <c r="D37" s="23"/>
      <c r="I37" s="23"/>
      <c r="K37" s="23"/>
      <c r="L37" s="23"/>
      <c r="M37" s="23"/>
      <c r="N37" s="23"/>
      <c r="O37" s="23"/>
      <c r="P37" s="24"/>
    </row>
    <row r="38" ht="15.75" customHeight="1">
      <c r="A38" s="23"/>
      <c r="B38" s="23"/>
      <c r="C38" s="23"/>
      <c r="D38" s="23"/>
      <c r="I38" s="23"/>
      <c r="K38" s="23"/>
      <c r="L38" s="23"/>
      <c r="M38" s="23"/>
      <c r="N38" s="23"/>
      <c r="O38" s="23"/>
      <c r="P38" s="24"/>
    </row>
    <row r="39" ht="15.75" customHeight="1">
      <c r="A39" s="23"/>
      <c r="B39" s="23"/>
      <c r="C39" s="23"/>
      <c r="D39" s="23"/>
      <c r="I39" s="23"/>
      <c r="K39" s="23"/>
      <c r="L39" s="23"/>
      <c r="M39" s="23"/>
      <c r="N39" s="23"/>
      <c r="O39" s="23"/>
      <c r="P39" s="24"/>
    </row>
    <row r="40" ht="15.75" customHeight="1">
      <c r="A40" s="23"/>
      <c r="B40" s="23"/>
      <c r="C40" s="23"/>
      <c r="D40" s="23"/>
      <c r="I40" s="23"/>
      <c r="K40" s="23"/>
      <c r="L40" s="23"/>
      <c r="M40" s="23"/>
      <c r="N40" s="23"/>
      <c r="O40" s="23"/>
      <c r="P40" s="24"/>
    </row>
    <row r="41" ht="15.75" customHeight="1">
      <c r="A41" s="23"/>
      <c r="B41" s="23"/>
      <c r="C41" s="23"/>
      <c r="D41" s="23"/>
      <c r="I41" s="23"/>
      <c r="K41" s="23"/>
      <c r="L41" s="23"/>
      <c r="M41" s="23"/>
      <c r="N41" s="23"/>
      <c r="O41" s="23"/>
      <c r="P41" s="24"/>
    </row>
    <row r="42" ht="15.75" customHeight="1">
      <c r="A42" s="23"/>
      <c r="B42" s="23"/>
      <c r="C42" s="23"/>
      <c r="D42" s="23"/>
      <c r="I42" s="23"/>
      <c r="K42" s="23"/>
      <c r="L42" s="23"/>
      <c r="M42" s="23"/>
      <c r="N42" s="23"/>
      <c r="O42" s="23"/>
      <c r="P42" s="24"/>
    </row>
    <row r="43" ht="15.75" customHeight="1">
      <c r="A43" s="23"/>
      <c r="B43" s="23"/>
      <c r="C43" s="23"/>
      <c r="D43" s="23"/>
      <c r="I43" s="23"/>
      <c r="K43" s="23"/>
      <c r="L43" s="23"/>
      <c r="M43" s="23"/>
      <c r="N43" s="23"/>
      <c r="O43" s="23"/>
      <c r="P43" s="24"/>
    </row>
    <row r="44" ht="15.75" customHeight="1">
      <c r="A44" s="23"/>
      <c r="B44" s="23"/>
      <c r="C44" s="23"/>
      <c r="D44" s="23"/>
      <c r="I44" s="23"/>
      <c r="K44" s="23"/>
      <c r="L44" s="23"/>
      <c r="M44" s="23"/>
      <c r="N44" s="23"/>
      <c r="O44" s="23"/>
      <c r="P44" s="24"/>
    </row>
    <row r="45" ht="15.75" customHeight="1">
      <c r="A45" s="23"/>
      <c r="B45" s="23"/>
      <c r="C45" s="23"/>
      <c r="D45" s="23"/>
      <c r="I45" s="23"/>
      <c r="K45" s="23"/>
      <c r="L45" s="23"/>
      <c r="M45" s="23"/>
      <c r="N45" s="23"/>
      <c r="O45" s="23"/>
      <c r="P45" s="24"/>
    </row>
    <row r="46" ht="15.75" customHeight="1">
      <c r="A46" s="23"/>
      <c r="B46" s="23"/>
      <c r="C46" s="23"/>
      <c r="D46" s="23"/>
      <c r="I46" s="23"/>
      <c r="K46" s="23"/>
      <c r="L46" s="23"/>
      <c r="M46" s="23"/>
      <c r="N46" s="23"/>
      <c r="O46" s="23"/>
      <c r="P46" s="24"/>
    </row>
    <row r="47" ht="15.75" customHeight="1">
      <c r="A47" s="23"/>
      <c r="B47" s="23"/>
      <c r="C47" s="23"/>
      <c r="D47" s="23"/>
      <c r="I47" s="23"/>
      <c r="K47" s="23"/>
      <c r="L47" s="23"/>
      <c r="M47" s="23"/>
      <c r="N47" s="23"/>
      <c r="O47" s="23"/>
      <c r="P47" s="24"/>
    </row>
    <row r="48" ht="15.75" customHeight="1">
      <c r="A48" s="23"/>
      <c r="B48" s="23"/>
      <c r="C48" s="23"/>
      <c r="D48" s="23"/>
      <c r="I48" s="23"/>
      <c r="K48" s="23"/>
      <c r="L48" s="23"/>
      <c r="M48" s="23"/>
      <c r="N48" s="23"/>
      <c r="O48" s="23"/>
      <c r="P48" s="24"/>
    </row>
    <row r="49" ht="15.75" customHeight="1">
      <c r="A49" s="23"/>
      <c r="B49" s="23"/>
      <c r="C49" s="23"/>
      <c r="D49" s="23"/>
      <c r="I49" s="23"/>
      <c r="K49" s="23"/>
      <c r="L49" s="23"/>
      <c r="M49" s="23"/>
      <c r="N49" s="23"/>
      <c r="O49" s="23"/>
      <c r="P49" s="24"/>
    </row>
    <row r="50" ht="15.75" customHeight="1">
      <c r="A50" s="23"/>
      <c r="B50" s="23"/>
      <c r="C50" s="23"/>
      <c r="D50" s="23"/>
      <c r="I50" s="23"/>
      <c r="K50" s="23"/>
      <c r="L50" s="23"/>
      <c r="M50" s="23"/>
      <c r="N50" s="23"/>
      <c r="O50" s="23"/>
      <c r="P50" s="24"/>
    </row>
    <row r="51" ht="15.75" customHeight="1">
      <c r="A51" s="23"/>
      <c r="B51" s="23"/>
      <c r="C51" s="23"/>
      <c r="D51" s="23"/>
      <c r="I51" s="23"/>
      <c r="K51" s="23"/>
      <c r="L51" s="23"/>
      <c r="M51" s="23"/>
      <c r="N51" s="23"/>
      <c r="O51" s="23"/>
      <c r="P51" s="24"/>
    </row>
    <row r="52" ht="15.75" customHeight="1">
      <c r="A52" s="23"/>
      <c r="B52" s="23"/>
      <c r="C52" s="23"/>
      <c r="D52" s="23"/>
      <c r="I52" s="23"/>
      <c r="K52" s="23"/>
      <c r="L52" s="23"/>
      <c r="M52" s="23"/>
      <c r="N52" s="23"/>
      <c r="O52" s="23"/>
      <c r="P52" s="24"/>
    </row>
    <row r="53" ht="15.75" customHeight="1">
      <c r="A53" s="23"/>
      <c r="B53" s="23"/>
      <c r="C53" s="23"/>
      <c r="D53" s="23"/>
      <c r="I53" s="23"/>
      <c r="K53" s="23"/>
      <c r="L53" s="23"/>
      <c r="M53" s="23"/>
      <c r="N53" s="23"/>
      <c r="O53" s="23"/>
      <c r="P53" s="24"/>
    </row>
    <row r="54" ht="15.75" customHeight="1">
      <c r="A54" s="23"/>
      <c r="B54" s="23"/>
      <c r="C54" s="23"/>
      <c r="D54" s="23"/>
      <c r="I54" s="23"/>
      <c r="K54" s="23"/>
      <c r="L54" s="23"/>
      <c r="M54" s="23"/>
      <c r="N54" s="23"/>
      <c r="O54" s="23"/>
      <c r="P54" s="24"/>
    </row>
    <row r="55" ht="15.75" customHeight="1">
      <c r="A55" s="23"/>
      <c r="B55" s="23"/>
      <c r="C55" s="23"/>
      <c r="D55" s="23"/>
      <c r="I55" s="23"/>
      <c r="K55" s="23"/>
      <c r="L55" s="23"/>
      <c r="M55" s="23"/>
      <c r="N55" s="23"/>
      <c r="O55" s="23"/>
      <c r="P55" s="24"/>
    </row>
    <row r="56" ht="15.75" customHeight="1">
      <c r="A56" s="23"/>
      <c r="B56" s="23"/>
      <c r="C56" s="23"/>
      <c r="D56" s="23"/>
      <c r="I56" s="23"/>
      <c r="K56" s="23"/>
      <c r="L56" s="23"/>
      <c r="M56" s="23"/>
      <c r="N56" s="23"/>
      <c r="O56" s="23"/>
      <c r="P56" s="24"/>
    </row>
    <row r="57" ht="15.75" customHeight="1">
      <c r="A57" s="23"/>
      <c r="B57" s="23"/>
      <c r="C57" s="23"/>
      <c r="D57" s="23"/>
      <c r="I57" s="23"/>
      <c r="K57" s="23"/>
      <c r="L57" s="23"/>
      <c r="M57" s="23"/>
      <c r="N57" s="23"/>
      <c r="O57" s="23"/>
      <c r="P57" s="24"/>
    </row>
    <row r="58" ht="15.75" customHeight="1">
      <c r="A58" s="23"/>
      <c r="B58" s="23"/>
      <c r="C58" s="23"/>
      <c r="D58" s="23"/>
      <c r="I58" s="23"/>
      <c r="K58" s="23"/>
      <c r="L58" s="23"/>
      <c r="M58" s="23"/>
      <c r="N58" s="23"/>
      <c r="O58" s="23"/>
      <c r="P58" s="24"/>
    </row>
    <row r="59" ht="15.75" customHeight="1">
      <c r="A59" s="23"/>
      <c r="B59" s="23"/>
      <c r="C59" s="23"/>
      <c r="D59" s="23"/>
      <c r="I59" s="23"/>
      <c r="K59" s="23"/>
      <c r="L59" s="23"/>
      <c r="M59" s="23"/>
      <c r="N59" s="23"/>
      <c r="O59" s="23"/>
      <c r="P59" s="24"/>
    </row>
    <row r="60" ht="15.75" customHeight="1">
      <c r="A60" s="23"/>
      <c r="B60" s="23"/>
      <c r="C60" s="23"/>
      <c r="D60" s="23"/>
      <c r="I60" s="23"/>
      <c r="K60" s="23"/>
      <c r="L60" s="23"/>
      <c r="M60" s="23"/>
      <c r="N60" s="23"/>
      <c r="O60" s="23"/>
      <c r="P60" s="24"/>
    </row>
    <row r="61" ht="15.75" customHeight="1">
      <c r="A61" s="23"/>
      <c r="B61" s="23"/>
      <c r="C61" s="23"/>
      <c r="D61" s="23"/>
      <c r="I61" s="23"/>
      <c r="K61" s="23"/>
      <c r="L61" s="23"/>
      <c r="M61" s="23"/>
      <c r="N61" s="23"/>
      <c r="O61" s="23"/>
      <c r="P61" s="24"/>
    </row>
    <row r="62" ht="15.75" customHeight="1">
      <c r="A62" s="23"/>
      <c r="B62" s="23"/>
      <c r="C62" s="23"/>
      <c r="D62" s="23"/>
      <c r="I62" s="23"/>
      <c r="K62" s="23"/>
      <c r="L62" s="23"/>
      <c r="M62" s="23"/>
      <c r="N62" s="23"/>
      <c r="O62" s="23"/>
      <c r="P62" s="24"/>
    </row>
    <row r="63" ht="15.75" customHeight="1">
      <c r="A63" s="23"/>
      <c r="B63" s="23"/>
      <c r="C63" s="23"/>
      <c r="D63" s="23"/>
      <c r="I63" s="23"/>
      <c r="K63" s="23"/>
      <c r="L63" s="23"/>
      <c r="M63" s="23"/>
      <c r="N63" s="23"/>
      <c r="O63" s="23"/>
      <c r="P63" s="24"/>
    </row>
    <row r="64" ht="15.75" customHeight="1">
      <c r="A64" s="23"/>
      <c r="B64" s="23"/>
      <c r="C64" s="23"/>
      <c r="D64" s="23"/>
      <c r="I64" s="23"/>
      <c r="K64" s="23"/>
      <c r="L64" s="23"/>
      <c r="M64" s="23"/>
      <c r="N64" s="23"/>
      <c r="O64" s="23"/>
      <c r="P64" s="24"/>
    </row>
    <row r="65" ht="15.75" customHeight="1">
      <c r="A65" s="23"/>
      <c r="B65" s="23"/>
      <c r="C65" s="23"/>
      <c r="D65" s="23"/>
      <c r="I65" s="23"/>
      <c r="K65" s="23"/>
      <c r="L65" s="23"/>
      <c r="M65" s="23"/>
      <c r="N65" s="23"/>
      <c r="O65" s="23"/>
      <c r="P65" s="24"/>
    </row>
    <row r="66" ht="15.75" customHeight="1">
      <c r="A66" s="23"/>
      <c r="B66" s="23"/>
      <c r="C66" s="23"/>
      <c r="D66" s="23"/>
      <c r="I66" s="23"/>
      <c r="K66" s="23"/>
      <c r="L66" s="23"/>
      <c r="M66" s="23"/>
      <c r="N66" s="23"/>
      <c r="O66" s="23"/>
      <c r="P66" s="24"/>
    </row>
    <row r="67" ht="15.75" customHeight="1">
      <c r="A67" s="23"/>
      <c r="B67" s="23"/>
      <c r="C67" s="23"/>
      <c r="D67" s="23"/>
      <c r="I67" s="23"/>
      <c r="K67" s="23"/>
      <c r="L67" s="23"/>
      <c r="M67" s="23"/>
      <c r="N67" s="23"/>
      <c r="O67" s="23"/>
      <c r="P67" s="24"/>
    </row>
    <row r="68" ht="15.75" customHeight="1">
      <c r="A68" s="23"/>
      <c r="B68" s="23"/>
      <c r="C68" s="23"/>
      <c r="D68" s="23"/>
      <c r="I68" s="23"/>
      <c r="K68" s="23"/>
      <c r="L68" s="23"/>
      <c r="M68" s="23"/>
      <c r="N68" s="23"/>
      <c r="O68" s="23"/>
      <c r="P68" s="24"/>
    </row>
    <row r="69" ht="15.75" customHeight="1">
      <c r="A69" s="23"/>
      <c r="B69" s="23"/>
      <c r="C69" s="23"/>
      <c r="D69" s="23"/>
      <c r="I69" s="23"/>
      <c r="K69" s="23"/>
      <c r="L69" s="23"/>
      <c r="M69" s="23"/>
      <c r="N69" s="23"/>
      <c r="O69" s="23"/>
      <c r="P69" s="24"/>
    </row>
    <row r="70" ht="15.75" customHeight="1">
      <c r="A70" s="23"/>
      <c r="B70" s="23"/>
      <c r="C70" s="23"/>
      <c r="D70" s="23"/>
      <c r="I70" s="23"/>
      <c r="K70" s="23"/>
      <c r="L70" s="23"/>
      <c r="M70" s="23"/>
      <c r="N70" s="23"/>
      <c r="O70" s="23"/>
      <c r="P70" s="24"/>
    </row>
    <row r="71" ht="15.75" customHeight="1">
      <c r="A71" s="23"/>
      <c r="B71" s="23"/>
      <c r="C71" s="23"/>
      <c r="D71" s="23"/>
      <c r="I71" s="23"/>
      <c r="K71" s="23"/>
      <c r="L71" s="23"/>
      <c r="M71" s="23"/>
      <c r="N71" s="23"/>
      <c r="O71" s="23"/>
      <c r="P71" s="24"/>
    </row>
    <row r="72" ht="15.75" customHeight="1">
      <c r="A72" s="23"/>
      <c r="B72" s="23"/>
      <c r="C72" s="23"/>
      <c r="D72" s="23"/>
      <c r="I72" s="23"/>
      <c r="K72" s="23"/>
      <c r="L72" s="23"/>
      <c r="M72" s="23"/>
      <c r="N72" s="23"/>
      <c r="O72" s="23"/>
      <c r="P72" s="24"/>
    </row>
    <row r="73" ht="15.75" customHeight="1">
      <c r="A73" s="23"/>
      <c r="B73" s="23"/>
      <c r="C73" s="23"/>
      <c r="D73" s="23"/>
      <c r="I73" s="23"/>
      <c r="K73" s="23"/>
      <c r="L73" s="23"/>
      <c r="M73" s="23"/>
      <c r="N73" s="23"/>
      <c r="O73" s="23"/>
      <c r="P73" s="24"/>
    </row>
    <row r="74" ht="15.75" customHeight="1">
      <c r="A74" s="23"/>
      <c r="B74" s="23"/>
      <c r="C74" s="23"/>
      <c r="D74" s="23"/>
      <c r="I74" s="23"/>
      <c r="K74" s="23"/>
      <c r="L74" s="23"/>
      <c r="M74" s="23"/>
      <c r="N74" s="23"/>
      <c r="O74" s="23"/>
      <c r="P74" s="24"/>
    </row>
    <row r="75" ht="15.75" customHeight="1">
      <c r="A75" s="23"/>
      <c r="B75" s="23"/>
      <c r="C75" s="23"/>
      <c r="D75" s="23"/>
      <c r="I75" s="23"/>
      <c r="K75" s="23"/>
      <c r="L75" s="23"/>
      <c r="M75" s="23"/>
      <c r="N75" s="23"/>
      <c r="O75" s="23"/>
      <c r="P75" s="24"/>
    </row>
    <row r="76" ht="15.75" customHeight="1">
      <c r="A76" s="23"/>
      <c r="B76" s="23"/>
      <c r="C76" s="23"/>
      <c r="D76" s="23"/>
      <c r="I76" s="23"/>
      <c r="K76" s="23"/>
      <c r="L76" s="23"/>
      <c r="M76" s="23"/>
      <c r="N76" s="23"/>
      <c r="O76" s="23"/>
      <c r="P76" s="24"/>
    </row>
    <row r="77" ht="15.75" customHeight="1">
      <c r="A77" s="23"/>
      <c r="B77" s="23"/>
      <c r="C77" s="23"/>
      <c r="D77" s="23"/>
      <c r="I77" s="23"/>
      <c r="K77" s="23"/>
      <c r="L77" s="23"/>
      <c r="M77" s="23"/>
      <c r="N77" s="23"/>
      <c r="O77" s="23"/>
      <c r="P77" s="24"/>
    </row>
    <row r="78" ht="15.75" customHeight="1">
      <c r="A78" s="23"/>
      <c r="B78" s="23"/>
      <c r="C78" s="23"/>
      <c r="D78" s="23"/>
      <c r="I78" s="23"/>
      <c r="K78" s="23"/>
      <c r="L78" s="23"/>
      <c r="M78" s="23"/>
      <c r="N78" s="23"/>
      <c r="O78" s="23"/>
      <c r="P78" s="24"/>
    </row>
    <row r="79" ht="15.75" customHeight="1">
      <c r="A79" s="23"/>
      <c r="B79" s="23"/>
      <c r="C79" s="23"/>
      <c r="D79" s="23"/>
      <c r="I79" s="23"/>
      <c r="K79" s="23"/>
      <c r="L79" s="23"/>
      <c r="M79" s="23"/>
      <c r="N79" s="23"/>
      <c r="O79" s="23"/>
      <c r="P79" s="24"/>
    </row>
    <row r="80" ht="15.75" customHeight="1">
      <c r="A80" s="23"/>
      <c r="B80" s="23"/>
      <c r="C80" s="23"/>
      <c r="D80" s="23"/>
      <c r="I80" s="23"/>
      <c r="K80" s="23"/>
      <c r="L80" s="23"/>
      <c r="M80" s="23"/>
      <c r="N80" s="23"/>
      <c r="O80" s="23"/>
      <c r="P80" s="24"/>
    </row>
    <row r="81" ht="15.75" customHeight="1">
      <c r="A81" s="23"/>
      <c r="B81" s="23"/>
      <c r="C81" s="23"/>
      <c r="D81" s="23"/>
      <c r="I81" s="23"/>
      <c r="K81" s="23"/>
      <c r="L81" s="23"/>
      <c r="M81" s="23"/>
      <c r="N81" s="23"/>
      <c r="O81" s="23"/>
      <c r="P81" s="24"/>
    </row>
    <row r="82" ht="15.75" customHeight="1">
      <c r="A82" s="23"/>
      <c r="B82" s="23"/>
      <c r="C82" s="23"/>
      <c r="D82" s="23"/>
      <c r="I82" s="23"/>
      <c r="K82" s="23"/>
      <c r="L82" s="23"/>
      <c r="M82" s="23"/>
      <c r="N82" s="23"/>
      <c r="O82" s="23"/>
      <c r="P82" s="24"/>
    </row>
    <row r="83" ht="15.75" customHeight="1">
      <c r="A83" s="23"/>
      <c r="B83" s="23"/>
      <c r="C83" s="23"/>
      <c r="D83" s="23"/>
      <c r="I83" s="23"/>
      <c r="K83" s="23"/>
      <c r="L83" s="23"/>
      <c r="M83" s="23"/>
      <c r="N83" s="23"/>
      <c r="O83" s="23"/>
      <c r="P83" s="24"/>
    </row>
    <row r="84" ht="15.75" customHeight="1">
      <c r="A84" s="23"/>
      <c r="B84" s="23"/>
      <c r="C84" s="23"/>
      <c r="D84" s="23"/>
      <c r="I84" s="23"/>
      <c r="K84" s="23"/>
      <c r="L84" s="23"/>
      <c r="M84" s="23"/>
      <c r="N84" s="23"/>
      <c r="O84" s="23"/>
      <c r="P84" s="24"/>
    </row>
    <row r="85" ht="15.75" customHeight="1">
      <c r="A85" s="23"/>
      <c r="B85" s="23"/>
      <c r="C85" s="23"/>
      <c r="D85" s="23"/>
      <c r="I85" s="23"/>
      <c r="K85" s="23"/>
      <c r="L85" s="23"/>
      <c r="M85" s="23"/>
      <c r="N85" s="23"/>
      <c r="O85" s="23"/>
      <c r="P85" s="24"/>
    </row>
    <row r="86" ht="15.75" customHeight="1">
      <c r="A86" s="23"/>
      <c r="B86" s="23"/>
      <c r="C86" s="23"/>
      <c r="D86" s="23"/>
      <c r="I86" s="23"/>
      <c r="K86" s="23"/>
      <c r="L86" s="23"/>
      <c r="M86" s="23"/>
      <c r="N86" s="23"/>
      <c r="O86" s="23"/>
      <c r="P86" s="24"/>
    </row>
    <row r="87" ht="15.75" customHeight="1">
      <c r="A87" s="23"/>
      <c r="B87" s="23"/>
      <c r="C87" s="23"/>
      <c r="D87" s="23"/>
      <c r="I87" s="23"/>
      <c r="K87" s="23"/>
      <c r="L87" s="23"/>
      <c r="M87" s="23"/>
      <c r="N87" s="23"/>
      <c r="O87" s="23"/>
      <c r="P87" s="24"/>
    </row>
    <row r="88" ht="15.75" customHeight="1">
      <c r="A88" s="23"/>
      <c r="B88" s="23"/>
      <c r="C88" s="23"/>
      <c r="D88" s="23"/>
      <c r="I88" s="23"/>
      <c r="K88" s="23"/>
      <c r="L88" s="23"/>
      <c r="M88" s="23"/>
      <c r="N88" s="23"/>
      <c r="O88" s="23"/>
      <c r="P88" s="24"/>
    </row>
    <row r="89" ht="15.75" customHeight="1">
      <c r="A89" s="23"/>
      <c r="B89" s="23"/>
      <c r="C89" s="23"/>
      <c r="D89" s="23"/>
      <c r="I89" s="23"/>
      <c r="K89" s="23"/>
      <c r="L89" s="23"/>
      <c r="M89" s="23"/>
      <c r="N89" s="23"/>
      <c r="O89" s="23"/>
      <c r="P89" s="24"/>
    </row>
    <row r="90" ht="15.75" customHeight="1">
      <c r="A90" s="23"/>
      <c r="B90" s="23"/>
      <c r="C90" s="23"/>
      <c r="D90" s="23"/>
      <c r="I90" s="23"/>
      <c r="K90" s="23"/>
      <c r="L90" s="23"/>
      <c r="M90" s="23"/>
      <c r="N90" s="23"/>
      <c r="O90" s="23"/>
      <c r="P90" s="24"/>
    </row>
    <row r="91" ht="15.75" customHeight="1">
      <c r="A91" s="23"/>
      <c r="B91" s="23"/>
      <c r="C91" s="23"/>
      <c r="D91" s="23"/>
      <c r="I91" s="23"/>
      <c r="K91" s="23"/>
      <c r="L91" s="23"/>
      <c r="M91" s="23"/>
      <c r="N91" s="23"/>
      <c r="O91" s="23"/>
      <c r="P91" s="24"/>
    </row>
    <row r="92" ht="15.75" customHeight="1">
      <c r="A92" s="23"/>
      <c r="B92" s="23"/>
      <c r="C92" s="23"/>
      <c r="D92" s="23"/>
      <c r="I92" s="23"/>
      <c r="K92" s="23"/>
      <c r="L92" s="23"/>
      <c r="M92" s="23"/>
      <c r="N92" s="23"/>
      <c r="O92" s="23"/>
      <c r="P92" s="24"/>
    </row>
    <row r="93" ht="15.75" customHeight="1">
      <c r="A93" s="23"/>
      <c r="B93" s="23"/>
      <c r="C93" s="23"/>
      <c r="D93" s="23"/>
      <c r="I93" s="23"/>
      <c r="K93" s="23"/>
      <c r="L93" s="23"/>
      <c r="M93" s="23"/>
      <c r="N93" s="23"/>
      <c r="O93" s="23"/>
      <c r="P93" s="24"/>
    </row>
    <row r="94" ht="15.75" customHeight="1">
      <c r="A94" s="23"/>
      <c r="B94" s="23"/>
      <c r="C94" s="23"/>
      <c r="D94" s="23"/>
      <c r="I94" s="23"/>
      <c r="K94" s="23"/>
      <c r="L94" s="23"/>
      <c r="M94" s="23"/>
      <c r="N94" s="23"/>
      <c r="O94" s="23"/>
      <c r="P94" s="24"/>
    </row>
    <row r="95" ht="15.75" customHeight="1">
      <c r="A95" s="23"/>
      <c r="B95" s="23"/>
      <c r="C95" s="23"/>
      <c r="D95" s="23"/>
      <c r="I95" s="23"/>
      <c r="K95" s="23"/>
      <c r="L95" s="23"/>
      <c r="M95" s="23"/>
      <c r="N95" s="23"/>
      <c r="O95" s="23"/>
      <c r="P95" s="24"/>
    </row>
    <row r="96" ht="15.75" customHeight="1">
      <c r="A96" s="23"/>
      <c r="B96" s="23"/>
      <c r="C96" s="23"/>
      <c r="D96" s="23"/>
      <c r="I96" s="23"/>
      <c r="K96" s="23"/>
      <c r="L96" s="23"/>
      <c r="M96" s="23"/>
      <c r="N96" s="23"/>
      <c r="O96" s="23"/>
      <c r="P96" s="24"/>
    </row>
    <row r="97" ht="15.75" customHeight="1">
      <c r="A97" s="23"/>
      <c r="B97" s="23"/>
      <c r="C97" s="23"/>
      <c r="D97" s="23"/>
      <c r="I97" s="23"/>
      <c r="K97" s="23"/>
      <c r="L97" s="23"/>
      <c r="M97" s="23"/>
      <c r="N97" s="23"/>
      <c r="O97" s="23"/>
      <c r="P97" s="24"/>
    </row>
    <row r="98" ht="15.75" customHeight="1">
      <c r="A98" s="23"/>
      <c r="B98" s="23"/>
      <c r="C98" s="23"/>
      <c r="D98" s="23"/>
      <c r="I98" s="23"/>
      <c r="K98" s="23"/>
      <c r="L98" s="23"/>
      <c r="M98" s="23"/>
      <c r="N98" s="23"/>
      <c r="O98" s="23"/>
      <c r="P98" s="24"/>
    </row>
    <row r="99" ht="15.75" customHeight="1">
      <c r="A99" s="23"/>
      <c r="B99" s="23"/>
      <c r="C99" s="23"/>
      <c r="D99" s="23"/>
      <c r="I99" s="23"/>
      <c r="K99" s="23"/>
      <c r="L99" s="23"/>
      <c r="M99" s="23"/>
      <c r="N99" s="23"/>
      <c r="O99" s="23"/>
      <c r="P99" s="24"/>
    </row>
    <row r="100" ht="15.75" customHeight="1">
      <c r="A100" s="23"/>
      <c r="B100" s="23"/>
      <c r="C100" s="23"/>
      <c r="D100" s="23"/>
      <c r="I100" s="23"/>
      <c r="K100" s="23"/>
      <c r="L100" s="23"/>
      <c r="M100" s="23"/>
      <c r="N100" s="23"/>
      <c r="O100" s="23"/>
      <c r="P100" s="24"/>
    </row>
    <row r="101" ht="15.75" customHeight="1">
      <c r="A101" s="23"/>
      <c r="B101" s="23"/>
      <c r="C101" s="23"/>
      <c r="D101" s="23"/>
      <c r="I101" s="23"/>
      <c r="K101" s="23"/>
      <c r="L101" s="23"/>
      <c r="M101" s="23"/>
      <c r="N101" s="23"/>
      <c r="O101" s="23"/>
      <c r="P101" s="24"/>
    </row>
    <row r="102" ht="15.75" customHeight="1">
      <c r="A102" s="23"/>
      <c r="B102" s="23"/>
      <c r="C102" s="23"/>
      <c r="D102" s="23"/>
      <c r="I102" s="23"/>
      <c r="K102" s="23"/>
      <c r="L102" s="23"/>
      <c r="M102" s="23"/>
      <c r="N102" s="23"/>
      <c r="O102" s="23"/>
      <c r="P102" s="24"/>
    </row>
    <row r="103" ht="15.75" customHeight="1">
      <c r="A103" s="23"/>
      <c r="B103" s="23"/>
      <c r="C103" s="23"/>
      <c r="D103" s="23"/>
      <c r="I103" s="23"/>
      <c r="K103" s="23"/>
      <c r="L103" s="23"/>
      <c r="M103" s="23"/>
      <c r="N103" s="23"/>
      <c r="O103" s="23"/>
      <c r="P103" s="24"/>
    </row>
    <row r="104" ht="15.75" customHeight="1">
      <c r="A104" s="23"/>
      <c r="B104" s="23"/>
      <c r="C104" s="23"/>
      <c r="D104" s="23"/>
      <c r="I104" s="23"/>
      <c r="K104" s="23"/>
      <c r="L104" s="23"/>
      <c r="M104" s="23"/>
      <c r="N104" s="23"/>
      <c r="O104" s="23"/>
      <c r="P104" s="2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104"/>
  <mergeCells count="3">
    <mergeCell ref="A1:Q1"/>
    <mergeCell ref="A2:Q2"/>
    <mergeCell ref="A3:Q3"/>
  </mergeCells>
  <dataValidations>
    <dataValidation type="custom" allowBlank="1" showDropDown="1" showInputMessage="1" showErrorMessage="1" prompt="Стабильный ID формата ctr-..." sqref="A5:A104">
      <formula1>OR(A5="",REGEXMATCH(A5,"^ctr-[A-Za-z0-9._-]+$"))</formula1>
    </dataValidation>
    <dataValidation type="list" allowBlank="1" showInputMessage="1" showErrorMessage="1" prompt="Продукт" sqref="D5:D104">
      <formula1>'Система'!$X$33:$X$232</formula1>
    </dataValidation>
    <dataValidation type="list" allowBlank="1" showInputMessage="1" showErrorMessage="1" prompt="SLA" sqref="I5:I104">
      <formula1>'Система'!$AD$33:$AD$332</formula1>
    </dataValidation>
    <dataValidation type="list" allowBlank="1" showInputMessage="1" showErrorMessage="1" prompt="Кто меняет контракт" sqref="K5:K104">
      <formula1>'Система'!$AC$33:$AC$232</formula1>
    </dataValidation>
    <dataValidation type="list" allowBlank="1" showInputMessage="1" showErrorMessage="1" prompt="Слой модели" sqref="L5:L104">
      <formula1>'Система'!$B$33:$B$34</formula1>
    </dataValidation>
    <dataValidation type="list" allowBlank="1" showInputMessage="1" showErrorMessage="1" prompt="Система-поставщик" sqref="B5:B104">
      <formula1>'Система'!$W$33:$W$232</formula1>
    </dataValidation>
    <dataValidation type="list" allowBlank="1" showInputMessage="1" showErrorMessage="1" prompt="Система-получатель" sqref="C5:C104">
      <formula1>'Система'!$W$33:$W$232</formula1>
    </dataValidation>
    <dataValidation type="list" allowBlank="1" showInputMessage="1" showErrorMessage="1" prompt="Версия" sqref="M5:M104">
      <formula1>'Система'!$AE$33:$AE$132</formula1>
    </dataValidation>
    <dataValidation type="list" allowBlank="1" showInputMessage="1" showErrorMessage="1" prompt="Статус знания" sqref="N5:N104">
      <formula1>'Система'!$A$33:$A$38</formula1>
    </dataValidation>
    <dataValidation type="list" allowBlank="1" showInputMessage="1" showErrorMessage="1" prompt="Источник" sqref="O5:O1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0" width="15.0"/>
    <col customWidth="1" min="11" max="11" width="31.13"/>
    <col customWidth="1" min="12" max="26" width="8.63"/>
  </cols>
  <sheetData>
    <row r="1" ht="25.5" customHeight="1">
      <c r="A1" s="1" t="s">
        <v>627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2.5" customHeight="1">
      <c r="A2" s="4" t="s">
        <v>628</v>
      </c>
    </row>
    <row r="3" ht="19.5" customHeight="1">
      <c r="A3" s="7" t="s">
        <v>8</v>
      </c>
    </row>
    <row r="4" ht="39.0" customHeight="1">
      <c r="A4" s="10" t="s">
        <v>629</v>
      </c>
      <c r="B4" s="10" t="s">
        <v>630</v>
      </c>
      <c r="C4" s="10" t="s">
        <v>631</v>
      </c>
      <c r="D4" s="10" t="s">
        <v>632</v>
      </c>
      <c r="E4" s="13" t="s">
        <v>633</v>
      </c>
      <c r="F4" s="13" t="s">
        <v>634</v>
      </c>
      <c r="G4" s="10" t="s">
        <v>438</v>
      </c>
      <c r="H4" s="10" t="s">
        <v>545</v>
      </c>
      <c r="I4" s="10" t="s">
        <v>36</v>
      </c>
      <c r="J4" s="10" t="s">
        <v>38</v>
      </c>
      <c r="K4" s="13" t="s">
        <v>52</v>
      </c>
    </row>
    <row r="5">
      <c r="A5" s="23"/>
      <c r="B5" s="23"/>
      <c r="C5" s="23"/>
      <c r="D5" s="23"/>
      <c r="E5" s="23"/>
      <c r="F5" s="23"/>
      <c r="G5" s="23"/>
      <c r="H5" s="23"/>
      <c r="I5" s="23"/>
      <c r="J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304"/>
  <mergeCells count="3">
    <mergeCell ref="A1:K1"/>
    <mergeCell ref="A2:K2"/>
    <mergeCell ref="A3:K3"/>
  </mergeCells>
  <dataValidations>
    <dataValidation type="list" allowBlank="1" showInputMessage="1" showErrorMessage="1" prompt="Целевая сущность" sqref="D5:D304">
      <formula1>'Система'!$V$33:$V$3999</formula1>
    </dataValidation>
    <dataValidation type="list" allowBlank="1" showInputMessage="1" showErrorMessage="1" prompt="Допустимый тип отношения" sqref="C5:C304">
      <formula1>'Система'!$J$33:$J$41</formula1>
    </dataValidation>
    <dataValidation type="list" allowBlank="1" showInputMessage="1" showErrorMessage="1" prompt="Слой модели" sqref="G5:G304">
      <formula1>'Система'!$B$33:$B$34</formula1>
    </dataValidation>
    <dataValidation type="custom" allowBlank="1" showDropDown="1" showInputMessage="1" showErrorMessage="1" prompt="Стабильный ID формата lnk-..." sqref="A5:A304">
      <formula1>OR(A5="",REGEXMATCH(A5,"^lnk-[A-Za-z0-9._-]+$"))</formula1>
    </dataValidation>
    <dataValidation type="list" allowBlank="1" showInputMessage="1" showErrorMessage="1" prompt="Контур системы" sqref="E5:E304">
      <formula1>'Система'!$W$33:$W$232</formula1>
    </dataValidation>
    <dataValidation type="list" allowBlank="1" showInputMessage="1" showErrorMessage="1" prompt="Исходная сущность" sqref="B5:B304">
      <formula1>'Система'!$V$33:$V$3999</formula1>
    </dataValidation>
    <dataValidation type="list" allowBlank="1" showInputMessage="1" showErrorMessage="1" prompt="Контур процесса" sqref="F5:F304">
      <formula1>'Система'!$Y$33:$Y$232</formula1>
    </dataValidation>
    <dataValidation type="list" allowBlank="1" showInputMessage="1" showErrorMessage="1" prompt="Версия" sqref="H5:H304">
      <formula1>'Система'!$AE$33:$AE$132</formula1>
    </dataValidation>
    <dataValidation type="list" allowBlank="1" showInputMessage="1" showErrorMessage="1" prompt="Статус знания" sqref="I5:I304">
      <formula1>'Система'!$A$33:$A$38</formula1>
    </dataValidation>
    <dataValidation type="list" allowBlank="1" showInputMessage="1" showErrorMessage="1" prompt="Источник" sqref="J5:J304">
      <formula1>'Система'!$AF$33:$AF$232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38"/>
    <col customWidth="1" min="2" max="2" width="35.5"/>
    <col customWidth="1" min="3" max="4" width="10.0"/>
    <col customWidth="1" min="5" max="5" width="34.5"/>
    <col customWidth="1" min="6" max="26" width="8.63"/>
  </cols>
  <sheetData>
    <row r="1" ht="25.5" customHeight="1">
      <c r="A1" s="1" t="s">
        <v>635</v>
      </c>
      <c r="B1" s="2"/>
      <c r="C1" s="2"/>
      <c r="D1" s="2"/>
      <c r="E1" s="3"/>
    </row>
    <row r="2" ht="22.5" customHeight="1">
      <c r="A2" s="4" t="s">
        <v>636</v>
      </c>
    </row>
    <row r="3" ht="19.5" customHeight="1">
      <c r="A3" s="7" t="s">
        <v>637</v>
      </c>
    </row>
    <row r="4" ht="39.0" customHeight="1">
      <c r="A4" s="11" t="s">
        <v>638</v>
      </c>
      <c r="B4" s="11" t="s">
        <v>26</v>
      </c>
      <c r="C4" s="11" t="s">
        <v>639</v>
      </c>
      <c r="D4" s="11" t="s">
        <v>640</v>
      </c>
      <c r="E4" s="11" t="s">
        <v>641</v>
      </c>
    </row>
    <row r="5">
      <c r="A5" s="15" t="s">
        <v>642</v>
      </c>
      <c r="B5" s="15" t="s">
        <v>643</v>
      </c>
      <c r="C5" s="15">
        <f>COUNTA('Система'!A5:A14)</f>
        <v>1</v>
      </c>
      <c r="D5" s="15" t="str">
        <f>IF(C5&gt;0,"норма","инфо")</f>
        <v>норма</v>
      </c>
      <c r="E5" s="15" t="s">
        <v>644</v>
      </c>
    </row>
    <row r="6">
      <c r="A6" s="15" t="s">
        <v>143</v>
      </c>
      <c r="B6" s="15" t="s">
        <v>645</v>
      </c>
      <c r="C6" s="15">
        <f>COUNTIFS('Система'!A18:A27,"&lt;&gt;",'Система'!G18:G27,"")</f>
        <v>0</v>
      </c>
      <c r="D6" s="15" t="str">
        <f t="shared" ref="D6:D28" si="1">IF(C6=0,"норма","ошибка")</f>
        <v>норма</v>
      </c>
      <c r="E6" s="15" t="s">
        <v>646</v>
      </c>
    </row>
    <row r="7">
      <c r="A7" s="15" t="s">
        <v>647</v>
      </c>
      <c r="B7" s="15" t="s">
        <v>648</v>
      </c>
      <c r="C7" s="15">
        <f t="array" ref="C7">SUMPRODUCT((COUNTIF('Система'!A5:A14,'Система'!A5:A14)&gt;1)*('Система'!A5:A14&lt;&gt;""))</f>
        <v>0</v>
      </c>
      <c r="D7" s="15" t="str">
        <f t="shared" si="1"/>
        <v>норма</v>
      </c>
      <c r="E7" s="15" t="s">
        <v>649</v>
      </c>
    </row>
    <row r="8">
      <c r="A8" s="15" t="s">
        <v>647</v>
      </c>
      <c r="B8" s="15" t="s">
        <v>650</v>
      </c>
      <c r="C8" s="15">
        <f t="array" ref="C8">SUMPRODUCT((COUNTIF('Система'!A18:A27,'Система'!A18:A27)&gt;1)*('Система'!A18:A27&lt;&gt;""))</f>
        <v>0</v>
      </c>
      <c r="D8" s="15" t="str">
        <f t="shared" si="1"/>
        <v>норма</v>
      </c>
      <c r="E8" s="15" t="s">
        <v>649</v>
      </c>
    </row>
    <row r="9">
      <c r="A9" s="15" t="s">
        <v>647</v>
      </c>
      <c r="B9" s="15" t="s">
        <v>651</v>
      </c>
      <c r="C9" s="15">
        <f t="array" ref="C9">SUMPRODUCT((COUNTIF('Источники'!A5:A204,'Источники'!A5:A204)&gt;1)*('Источники'!A5:A204&lt;&gt;""))</f>
        <v>0</v>
      </c>
      <c r="D9" s="15" t="str">
        <f t="shared" si="1"/>
        <v>норма</v>
      </c>
      <c r="E9" s="15" t="s">
        <v>652</v>
      </c>
    </row>
    <row r="10">
      <c r="A10" s="15" t="s">
        <v>647</v>
      </c>
      <c r="B10" s="15" t="s">
        <v>653</v>
      </c>
      <c r="C10" s="15">
        <f t="array" ref="C10">SUMPRODUCT((COUNTIF('Версии'!A5:A104,'Версии'!A5:A104)&gt;1)*('Версии'!A5:A104&lt;&gt;""))</f>
        <v>0</v>
      </c>
      <c r="D10" s="15" t="str">
        <f t="shared" si="1"/>
        <v>норма</v>
      </c>
      <c r="E10" s="15" t="s">
        <v>652</v>
      </c>
    </row>
    <row r="11">
      <c r="A11" s="15" t="s">
        <v>647</v>
      </c>
      <c r="B11" s="15" t="s">
        <v>654</v>
      </c>
      <c r="C11" s="15">
        <f t="array" ref="C11">SUMPRODUCT((COUNTIF('Позиции'!A5:A204,'Позиции'!A5:A204)&gt;1)*('Позиции'!A5:A204&lt;&gt;""))</f>
        <v>0</v>
      </c>
      <c r="D11" s="15" t="str">
        <f t="shared" si="1"/>
        <v>норма</v>
      </c>
      <c r="E11" s="15" t="s">
        <v>652</v>
      </c>
    </row>
    <row r="12">
      <c r="A12" s="15" t="s">
        <v>647</v>
      </c>
      <c r="B12" s="15" t="s">
        <v>655</v>
      </c>
      <c r="C12" s="15">
        <f t="array" ref="C12">SUMPRODUCT((COUNTIF('Назначения'!A5:A204,'Назначения'!A5:A204)&gt;1)*('Назначения'!A5:A204&lt;&gt;""))</f>
        <v>0</v>
      </c>
      <c r="D12" s="15" t="str">
        <f t="shared" si="1"/>
        <v>норма</v>
      </c>
      <c r="E12" s="15" t="s">
        <v>652</v>
      </c>
    </row>
    <row r="13">
      <c r="A13" s="15" t="s">
        <v>647</v>
      </c>
      <c r="B13" s="15" t="s">
        <v>656</v>
      </c>
      <c r="C13" s="15">
        <f t="array" ref="C13">SUMPRODUCT((COUNTIF('Процессы'!A5:A204,'Процессы'!A5:A204)&gt;1)*('Процессы'!A5:A204&lt;&gt;""))</f>
        <v>0</v>
      </c>
      <c r="D13" s="15" t="str">
        <f t="shared" si="1"/>
        <v>норма</v>
      </c>
      <c r="E13" s="15" t="s">
        <v>652</v>
      </c>
    </row>
    <row r="14">
      <c r="A14" s="15" t="s">
        <v>647</v>
      </c>
      <c r="B14" s="15" t="s">
        <v>657</v>
      </c>
      <c r="C14" s="15">
        <f t="array" ref="C14">SUMPRODUCT((COUNTIF('Действия'!A5:A304,'Действия'!A5:A304)&gt;1)*('Действия'!A5:A304&lt;&gt;""))</f>
        <v>0</v>
      </c>
      <c r="D14" s="15" t="str">
        <f t="shared" si="1"/>
        <v>норма</v>
      </c>
      <c r="E14" s="15" t="s">
        <v>652</v>
      </c>
    </row>
    <row r="15">
      <c r="A15" s="15" t="s">
        <v>647</v>
      </c>
      <c r="B15" s="15" t="s">
        <v>667</v>
      </c>
      <c r="C15" s="15">
        <f t="array" ref="C15">SUMPRODUCT((COUNTIF('Связи действий'!A5:A304,'Связи действий'!A5:A304)&gt;1)*('Связи действий'!A5:A304&lt;&gt;""))</f>
        <v>0</v>
      </c>
      <c r="D15" s="15" t="str">
        <f t="shared" si="1"/>
        <v>норма</v>
      </c>
      <c r="E15" s="15" t="s">
        <v>652</v>
      </c>
    </row>
    <row r="16">
      <c r="A16" s="15" t="s">
        <v>647</v>
      </c>
      <c r="B16" s="15" t="s">
        <v>686</v>
      </c>
      <c r="C16" s="15">
        <f t="array" ref="C16">SUMPRODUCT((COUNTIF('Объекты'!A5:A204,'Объекты'!A5:A204)&gt;1)*('Объекты'!A5:A204&lt;&gt;""))</f>
        <v>0</v>
      </c>
      <c r="D16" s="15" t="str">
        <f t="shared" si="1"/>
        <v>норма</v>
      </c>
      <c r="E16" s="15" t="s">
        <v>652</v>
      </c>
    </row>
    <row r="17">
      <c r="A17" s="15" t="s">
        <v>647</v>
      </c>
      <c r="B17" s="15" t="s">
        <v>695</v>
      </c>
      <c r="C17" s="15">
        <f t="array" ref="C17">SUMPRODUCT((COUNTIF('Состояния'!A5:A304,'Состояния'!A5:A304)&gt;1)*('Состояния'!A5:A304&lt;&gt;""))</f>
        <v>0</v>
      </c>
      <c r="D17" s="15" t="str">
        <f t="shared" si="1"/>
        <v>норма</v>
      </c>
      <c r="E17" s="15" t="s">
        <v>652</v>
      </c>
    </row>
    <row r="18">
      <c r="A18" s="15" t="s">
        <v>647</v>
      </c>
      <c r="B18" s="15" t="s">
        <v>705</v>
      </c>
      <c r="C18" s="15">
        <f t="array" ref="C18">SUMPRODUCT((COUNTIF('Переходы'!A5:A304,'Переходы'!A5:A304)&gt;1)*('Переходы'!A5:A304&lt;&gt;""))</f>
        <v>0</v>
      </c>
      <c r="D18" s="15" t="str">
        <f t="shared" si="1"/>
        <v>норма</v>
      </c>
      <c r="E18" s="15" t="s">
        <v>652</v>
      </c>
    </row>
    <row r="19">
      <c r="A19" s="15" t="s">
        <v>647</v>
      </c>
      <c r="B19" s="15" t="s">
        <v>712</v>
      </c>
      <c r="C19" s="15">
        <f t="array" ref="C19">SUMPRODUCT((COUNTIF('Элементы модели'!A5:A304,'Элементы модели'!A5:A304)&gt;1)*('Элементы модели'!A5:A304&lt;&gt;""))</f>
        <v>0</v>
      </c>
      <c r="D19" s="15" t="str">
        <f t="shared" si="1"/>
        <v>норма</v>
      </c>
      <c r="E19" s="15" t="s">
        <v>652</v>
      </c>
    </row>
    <row r="20">
      <c r="A20" s="15" t="s">
        <v>647</v>
      </c>
      <c r="B20" s="15" t="s">
        <v>714</v>
      </c>
      <c r="C20" s="15">
        <f t="array" ref="C20">SUMPRODUCT((COUNTIF('Контракты'!A5:A104,'Контракты'!A5:A104)&gt;1)*('Контракты'!A5:A104&lt;&gt;""))</f>
        <v>0</v>
      </c>
      <c r="D20" s="15" t="str">
        <f t="shared" si="1"/>
        <v>норма</v>
      </c>
      <c r="E20" s="15" t="s">
        <v>652</v>
      </c>
    </row>
    <row r="21" ht="15.75" customHeight="1">
      <c r="A21" s="15" t="s">
        <v>647</v>
      </c>
      <c r="B21" s="15" t="s">
        <v>730</v>
      </c>
      <c r="C21" s="15">
        <f t="array" ref="C21">SUMPRODUCT((COUNTIF('Связи модели'!A5:A304,'Связи модели'!A5:A304)&gt;1)*('Связи модели'!A5:A304&lt;&gt;""))</f>
        <v>0</v>
      </c>
      <c r="D21" s="15" t="str">
        <f t="shared" si="1"/>
        <v>норма</v>
      </c>
      <c r="E21" s="15" t="s">
        <v>652</v>
      </c>
    </row>
    <row r="22" ht="15.75" customHeight="1">
      <c r="A22" s="15" t="s">
        <v>67</v>
      </c>
      <c r="B22" s="15" t="s">
        <v>739</v>
      </c>
      <c r="C22" s="15">
        <f>SUMPRODUCT(('Процессы'!A5:A204&lt;&gt;"")*((('Процессы'!B5:B204="")+('Процессы'!E5:E204="")+('Процессы'!F5:F204="")+('Процессы'!H5:H204="")+('Процессы'!I5:I204="")+('Процессы'!J5:J204="")+('Процессы'!M5:M204="")+('Процессы'!O5:O204="")+('Процессы'!P5:P204="")+('Процессы'!R5:R204="")+('Процессы'!S5:S204=""))&gt;0))</f>
        <v>0</v>
      </c>
      <c r="D22" s="15" t="str">
        <f t="shared" si="1"/>
        <v>норма</v>
      </c>
      <c r="E22" s="15" t="s">
        <v>748</v>
      </c>
    </row>
    <row r="23" ht="15.75" customHeight="1">
      <c r="A23" s="15" t="s">
        <v>547</v>
      </c>
      <c r="B23" s="15" t="s">
        <v>749</v>
      </c>
      <c r="C23" s="15">
        <f>SUMPRODUCT(('Действия'!A5:A304&lt;&gt;"")*((('Действия'!B5:B304="")+('Действия'!C5:C304="")+('Действия'!F5:F304="")+('Действия'!G5:G304="")+('Действия'!H5:H304="")+('Действия'!L5:L304="")+('Действия'!M5:M304="")+('Действия'!O5:O304="")+('Действия'!P5:P304=""))&gt;0))</f>
        <v>0</v>
      </c>
      <c r="D23" s="15" t="str">
        <f t="shared" si="1"/>
        <v>норма</v>
      </c>
      <c r="E23" s="15" t="s">
        <v>750</v>
      </c>
    </row>
    <row r="24" ht="15.75" customHeight="1">
      <c r="A24" s="15" t="s">
        <v>590</v>
      </c>
      <c r="B24" s="15" t="s">
        <v>751</v>
      </c>
      <c r="C24" s="15">
        <f>COUNTIFS('Состояния'!A5:A304,"&lt;&gt;",'Состояния'!B5:B304,"")</f>
        <v>0</v>
      </c>
      <c r="D24" s="15" t="str">
        <f t="shared" si="1"/>
        <v>норма</v>
      </c>
      <c r="E24" s="15" t="s">
        <v>752</v>
      </c>
    </row>
    <row r="25" ht="15.75" customHeight="1">
      <c r="A25" s="15" t="s">
        <v>597</v>
      </c>
      <c r="B25" s="15" t="s">
        <v>753</v>
      </c>
      <c r="C25" s="15">
        <f>SUMPRODUCT(('Переходы'!A5:A304&lt;&gt;"")*((('Переходы'!B5:B304="")+('Переходы'!C5:C304="")+('Переходы'!D5:D304="")+('Переходы'!E5:E304="")+('Переходы'!J5:J304=""))&gt;0))</f>
        <v>0</v>
      </c>
      <c r="D25" s="15" t="str">
        <f t="shared" si="1"/>
        <v>норма</v>
      </c>
      <c r="E25" s="15" t="s">
        <v>754</v>
      </c>
    </row>
    <row r="26" ht="15.75" customHeight="1">
      <c r="A26" s="15" t="s">
        <v>615</v>
      </c>
      <c r="B26" s="15" t="s">
        <v>755</v>
      </c>
      <c r="C26" s="15">
        <f>COUNTIFS('Контракты'!A5:A104,"&lt;&gt;",'Контракты'!H5:H104,"")</f>
        <v>0</v>
      </c>
      <c r="D26" s="15" t="str">
        <f t="shared" si="1"/>
        <v>норма</v>
      </c>
      <c r="E26" s="15" t="s">
        <v>756</v>
      </c>
    </row>
    <row r="27" ht="15.75" customHeight="1">
      <c r="A27" s="15" t="s">
        <v>757</v>
      </c>
      <c r="B27" s="15" t="s">
        <v>758</v>
      </c>
      <c r="C27" s="15">
        <f>SUMPRODUCT(('Связи модели'!A5:A304&lt;&gt;"")*((('Связи модели'!B5:B304="")+('Связи модели'!C5:C304="")+('Связи модели'!D5:D304=""))&gt;0))</f>
        <v>0</v>
      </c>
      <c r="D27" s="15" t="str">
        <f t="shared" si="1"/>
        <v>норма</v>
      </c>
      <c r="E27" s="15" t="s">
        <v>759</v>
      </c>
    </row>
    <row r="28" ht="15.75" customHeight="1">
      <c r="A28" s="15" t="s">
        <v>47</v>
      </c>
      <c r="B28" s="33" t="s">
        <v>760</v>
      </c>
      <c r="C28" s="15">
        <f>COUNTIFS('Процессы'!A5:A204,"&lt;&gt;",'Процессы'!O5:O204,"&lt;&gt;",'Процессы'!P5:P204,"")+COUNTIFS('Действия'!A5:A304,"&lt;&gt;",'Действия'!L5:L304,"&lt;&gt;",'Действия'!M5:M304,"")+COUNTIFS('Состояния'!A5:A304,"&lt;&gt;",'Состояния'!G5:G304,"&lt;&gt;",'Состояния'!H5:H304,"")+COUNTIFS('Переходы'!A5:A304,"&lt;&gt;",'Переходы'!L5:L304,"&lt;&gt;",'Переходы'!M5:M304,"")</f>
        <v>0</v>
      </c>
      <c r="D28" s="15" t="str">
        <f t="shared" si="1"/>
        <v>норма</v>
      </c>
      <c r="E28" s="15" t="s">
        <v>761</v>
      </c>
    </row>
    <row r="29" ht="15.75" customHeight="1">
      <c r="A29" s="15" t="s">
        <v>54</v>
      </c>
      <c r="B29" s="15" t="s">
        <v>762</v>
      </c>
      <c r="C29" s="15">
        <f>SUMPRODUCT(('Позиции'!A5:A204&lt;&gt;"")*((('Позиции'!D5:D204="")+('Позиции'!E5:E204=""))&gt;0))</f>
        <v>0</v>
      </c>
      <c r="D29" s="15" t="str">
        <f>IF(C29=0,"норма","предупреждение")</f>
        <v>норма</v>
      </c>
      <c r="E29" s="15" t="s">
        <v>763</v>
      </c>
    </row>
    <row r="30" ht="15.75" customHeight="1">
      <c r="A30" s="33" t="s">
        <v>567</v>
      </c>
      <c r="B30" s="33" t="s">
        <v>764</v>
      </c>
      <c r="C30" s="15">
        <f>SUMPRODUCT(('Связи действий'!A5:A304&lt;&gt;"")*((('Связи действий'!O5:O304="")+('Связи действий'!P5:P304=""))&gt;0))</f>
        <v>0</v>
      </c>
      <c r="D30" s="15" t="str">
        <f t="shared" ref="D30:D34" si="2">IF(C30=0,"норма","ошибка")</f>
        <v>норма</v>
      </c>
      <c r="E30" s="33" t="s">
        <v>765</v>
      </c>
    </row>
    <row r="31" ht="15.75" customHeight="1">
      <c r="A31" s="33" t="s">
        <v>547</v>
      </c>
      <c r="B31" s="33" t="s">
        <v>766</v>
      </c>
      <c r="C31" s="15">
        <f>COUNTIFS('Действия'!A5:A304,"&lt;&gt;",'Действия'!X5:X304,"")</f>
        <v>0</v>
      </c>
      <c r="D31" s="15" t="str">
        <f t="shared" si="2"/>
        <v>норма</v>
      </c>
      <c r="E31" s="33" t="s">
        <v>767</v>
      </c>
    </row>
    <row r="32" ht="15.75" customHeight="1">
      <c r="A32" s="33" t="s">
        <v>567</v>
      </c>
      <c r="B32" s="33" t="s">
        <v>768</v>
      </c>
      <c r="C32" s="15">
        <f>COUNTIFS('Связи действий'!A5:A304,"&lt;&gt;",'Связи действий'!S5:S304,"")</f>
        <v>0</v>
      </c>
      <c r="D32" s="15" t="str">
        <f t="shared" si="2"/>
        <v>норма</v>
      </c>
      <c r="E32" s="33" t="s">
        <v>767</v>
      </c>
    </row>
    <row r="33" ht="15.75" customHeight="1">
      <c r="A33" s="33" t="s">
        <v>547</v>
      </c>
      <c r="B33" s="33" t="s">
        <v>769</v>
      </c>
      <c r="C33" s="15">
        <f>COUNTIFS('Действия'!A5:A304,"&lt;&gt;",'Действия'!D5:D304,"подпроцесс",'Действия'!V5:V304,"")</f>
        <v>0</v>
      </c>
      <c r="D33" s="15" t="str">
        <f t="shared" si="2"/>
        <v>норма</v>
      </c>
      <c r="E33" s="33" t="s">
        <v>770</v>
      </c>
    </row>
    <row r="34" ht="15.75" customHeight="1">
      <c r="A34" s="33" t="s">
        <v>771</v>
      </c>
      <c r="B34" s="33" t="s">
        <v>772</v>
      </c>
      <c r="C34" s="15">
        <f>SUMPRODUCT(('Диаграммы'!A5:A104&lt;&gt;"")*((('Диаграммы'!B5:B104="")+('Диаграммы'!C5:C104="")+('Диаграммы'!D5:D104="")+('Диаграммы'!E5:E104="")+('Диаграммы'!F5:F104="")+('Диаграммы'!G5:G104="")+('Диаграммы'!H5:H104="")+('Диаграммы'!I5:I104="")+('Диаграммы'!J5:J104="")+('Диаграммы'!P5:P104="")+('Диаграммы'!Q5:Q104=""))&gt;0))</f>
        <v>0</v>
      </c>
      <c r="D34" s="15" t="str">
        <f t="shared" si="2"/>
        <v>норма</v>
      </c>
      <c r="E34" s="33" t="s">
        <v>773</v>
      </c>
    </row>
    <row r="35" ht="15.75" customHeight="1">
      <c r="A35" s="33" t="s">
        <v>771</v>
      </c>
      <c r="B35" s="33" t="s">
        <v>774</v>
      </c>
      <c r="C35" s="15">
        <f t="array" ref="C35">SUM(IF('Процессы'!A5:A204="",0,--(COUNTIF('Диаграммы'!B5:B104,'Процессы'!A5:A204)=0)))</f>
        <v>0</v>
      </c>
      <c r="D35" s="15" t="str">
        <f t="shared" ref="D35:D37" si="3">IF(C35=0,"норма","предупреждение")</f>
        <v>норма</v>
      </c>
      <c r="E35" s="33" t="s">
        <v>775</v>
      </c>
    </row>
    <row r="36" ht="15.75" customHeight="1">
      <c r="A36" s="33" t="s">
        <v>567</v>
      </c>
      <c r="B36" s="33" t="s">
        <v>776</v>
      </c>
      <c r="C36" s="15">
        <f t="array" ref="C36">SUM(IF('Процессы'!A5:A204="",0,--(COUNTIFS('Связи действий'!B5:B304,'Процессы'!A5:A204,'Связи действий'!I5:I304,"да")=0)))</f>
        <v>0</v>
      </c>
      <c r="D36" s="15" t="str">
        <f t="shared" si="3"/>
        <v>норма</v>
      </c>
      <c r="E36" s="33" t="s">
        <v>777</v>
      </c>
    </row>
    <row r="37" ht="15.75" customHeight="1">
      <c r="A37" s="33" t="s">
        <v>567</v>
      </c>
      <c r="B37" s="33" t="s">
        <v>778</v>
      </c>
      <c r="C37" s="15">
        <f t="array" ref="C37">SUM(IF('Процессы'!A5:A204="",0,--(COUNTIFS('Связи действий'!B5:B304,'Процессы'!A5:A204,'Связи действий'!J5:J304,"да")=0)))</f>
        <v>0</v>
      </c>
      <c r="D37" s="15" t="str">
        <f t="shared" si="3"/>
        <v>норма</v>
      </c>
      <c r="E37" s="33" t="s">
        <v>779</v>
      </c>
    </row>
    <row r="38" ht="15.75" customHeight="1">
      <c r="A38" s="33" t="s">
        <v>780</v>
      </c>
      <c r="B38" s="33" t="s">
        <v>781</v>
      </c>
      <c r="C38" s="15">
        <f>COUNTIFS('Связи действий'!A5:A304,"&lt;&gt;",'Связи действий'!D5:D304,"ветвление",'Связи действий'!Q5:Q304,"")</f>
        <v>0</v>
      </c>
      <c r="D38" s="15" t="str">
        <f>IF(C38=0,"норма","ошибка")</f>
        <v>норма</v>
      </c>
      <c r="E38" s="33" t="s">
        <v>782</v>
      </c>
    </row>
    <row r="39" ht="15.75" customHeight="1">
      <c r="A39" s="33" t="s">
        <v>771</v>
      </c>
      <c r="B39" s="33" t="s">
        <v>783</v>
      </c>
      <c r="C39" s="15">
        <f>COUNTIFS('Диаграммы'!A5:A104,"&lt;&gt;",'Диаграммы'!M5:M104,"не сгенерирована")+COUNTIFS('Диаграммы'!A5:A104,"&lt;&gt;",'Диаграммы'!M5:M104,"требует обновления")</f>
        <v>0</v>
      </c>
      <c r="D39" s="15" t="str">
        <f>IF(C39=0,"норма","предупреждение")</f>
        <v>норма</v>
      </c>
      <c r="E39" s="33" t="s">
        <v>784</v>
      </c>
    </row>
    <row r="40" ht="15.75" customHeight="1">
      <c r="A40" s="33" t="s">
        <v>780</v>
      </c>
      <c r="B40" s="33" t="s">
        <v>785</v>
      </c>
      <c r="C40" s="15">
        <f t="array" ref="C40">SUM(IF(('Действия'!A5:A304&lt;&gt;"")*('Действия'!D5:D304="решение"),--(COUNTIFS('Связи действий'!C5:C304,'Действия'!A5:A304,'Связи действий'!S5:S304,"да")&lt;2),0))</f>
        <v>0</v>
      </c>
      <c r="D40" s="15" t="str">
        <f t="shared" ref="D40:D41" si="4">IF(C40=0,"норма","ошибка")</f>
        <v>норма</v>
      </c>
      <c r="E40" s="33" t="s">
        <v>786</v>
      </c>
    </row>
    <row r="41" ht="15.75" customHeight="1">
      <c r="A41" s="33" t="s">
        <v>780</v>
      </c>
      <c r="B41" s="33" t="s">
        <v>787</v>
      </c>
      <c r="C41" s="15">
        <f t="array" ref="C41">SUM(IF(('Действия'!A5:A304&lt;&gt;"")*('Действия'!D5:D304="решение"),--(COUNTIFS('Связи действий'!C5:C304,'Действия'!A5:A304,'Связи действий'!R5:R304,"да")&gt;1),0))</f>
        <v>0</v>
      </c>
      <c r="D41" s="15" t="str">
        <f t="shared" si="4"/>
        <v>норма</v>
      </c>
      <c r="E41" s="33" t="s">
        <v>788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3:E3"/>
  </mergeCells>
  <conditionalFormatting sqref="D5:D41">
    <cfRule type="cellIs" dxfId="0" priority="1" stopIfTrue="1" operator="equal">
      <formula>"инфо"</formula>
    </cfRule>
  </conditionalFormatting>
  <conditionalFormatting sqref="D5:D41">
    <cfRule type="cellIs" dxfId="2" priority="2" stopIfTrue="1" operator="equal">
      <formula>"предупреждение"</formula>
    </cfRule>
  </conditionalFormatting>
  <conditionalFormatting sqref="D5:D41">
    <cfRule type="cellIs" dxfId="1" priority="3" stopIfTrue="1" operator="equal">
      <formula>"ошибка"</formula>
    </cfRule>
  </conditionalFormatting>
  <conditionalFormatting sqref="D5:D41">
    <cfRule type="cellIs" dxfId="4" priority="4" stopIfTrue="1" operator="equal">
      <formula>"норма"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0"/>
    <col customWidth="1" min="2" max="2" width="20.0"/>
    <col customWidth="1" min="3" max="3" width="15.0"/>
    <col customWidth="1" min="4" max="4" width="20.0"/>
    <col customWidth="1" min="5" max="5" width="31.13"/>
    <col customWidth="1" min="6" max="6" width="20.0"/>
    <col customWidth="1" min="7" max="8" width="31.13"/>
    <col customWidth="1" min="9" max="11" width="20.0"/>
    <col customWidth="1" min="12" max="17" width="15.0"/>
    <col customWidth="1" min="18" max="18" width="15.13"/>
    <col customWidth="1" min="19" max="19" width="18.25"/>
    <col customWidth="1" min="20" max="20" width="15.13"/>
    <col customWidth="1" min="21" max="26" width="8.63"/>
  </cols>
  <sheetData>
    <row r="1" ht="25.5" customHeight="1">
      <c r="A1" s="1" t="s">
        <v>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2.5" customHeight="1">
      <c r="A2" s="4" t="s">
        <v>659</v>
      </c>
    </row>
    <row r="3" ht="19.5" customHeight="1">
      <c r="A3" s="43" t="s">
        <v>660</v>
      </c>
    </row>
    <row r="4" ht="39.0" customHeight="1">
      <c r="A4" s="11" t="s">
        <v>661</v>
      </c>
      <c r="B4" s="11" t="s">
        <v>662</v>
      </c>
      <c r="C4" s="11" t="s">
        <v>663</v>
      </c>
      <c r="D4" s="11" t="s">
        <v>664</v>
      </c>
      <c r="E4" s="11" t="s">
        <v>665</v>
      </c>
      <c r="F4" s="11" t="s">
        <v>666</v>
      </c>
      <c r="G4" s="11" t="s">
        <v>668</v>
      </c>
      <c r="H4" s="11" t="s">
        <v>669</v>
      </c>
      <c r="I4" s="11" t="s">
        <v>670</v>
      </c>
      <c r="J4" s="11" t="s">
        <v>671</v>
      </c>
      <c r="K4" s="11" t="s">
        <v>672</v>
      </c>
      <c r="L4" s="11" t="s">
        <v>673</v>
      </c>
      <c r="M4" s="11" t="s">
        <v>674</v>
      </c>
      <c r="N4" s="11" t="s">
        <v>675</v>
      </c>
      <c r="O4" s="11" t="s">
        <v>676</v>
      </c>
      <c r="P4" s="11" t="s">
        <v>677</v>
      </c>
      <c r="Q4" s="11" t="s">
        <v>678</v>
      </c>
      <c r="R4" s="49" t="s">
        <v>679</v>
      </c>
      <c r="S4" s="49" t="s">
        <v>680</v>
      </c>
      <c r="T4" s="49" t="s">
        <v>681</v>
      </c>
    </row>
    <row r="5">
      <c r="A5" s="23" t="str">
        <f>IF('Процессы'!A5="","",'Процессы'!A5)</f>
        <v/>
      </c>
      <c r="B5" s="23" t="str">
        <f t="array" ref="B5">IF($A5="","",IFERROR(INDEX('Система'!$B$5:$B$14,MATCH('Процессы'!B5,'Система'!$A$5:$A$14,0)),"⚠ ID системы"))</f>
        <v/>
      </c>
      <c r="C5" s="23" t="str">
        <f>IF($A5="","",'Процессы'!C5)</f>
        <v/>
      </c>
      <c r="D5" s="23" t="str">
        <f>IF($A5="","",'Процессы'!E5)</f>
        <v/>
      </c>
      <c r="E5" s="23" t="str">
        <f>IF($A5="","",'Процессы'!F5)</f>
        <v/>
      </c>
      <c r="F5" s="23" t="str">
        <f>IF($A5="","",'Процессы'!H5)</f>
        <v/>
      </c>
      <c r="G5" s="23" t="str">
        <f>IF($A5="","",'Процессы'!I5)</f>
        <v/>
      </c>
      <c r="H5" s="23" t="str">
        <f>IF($A5="","",'Процессы'!J5)</f>
        <v/>
      </c>
      <c r="I5" s="23" t="str">
        <f t="array" ref="I5">IF($A5="","",IFERROR(INDEX('Позиции'!$C$5:$C$204,MATCH('Процессы'!M5,'Позиции'!$A$5:$A$204,0)),"⚠ ID позиции"))</f>
        <v/>
      </c>
      <c r="J5" s="23" t="str">
        <f>IF($A5="","",COUNTIF('Действия'!$B$5:$B$304,$A5))</f>
        <v/>
      </c>
      <c r="K5" s="23" t="str">
        <f>IF($A5="","",COUNTIF('Переходы'!$B$5:$B$304,$A5))</f>
        <v/>
      </c>
      <c r="L5" s="23" t="str">
        <f>IF($A5="","",'Процессы'!O5)</f>
        <v/>
      </c>
      <c r="M5" s="23" t="str">
        <f>IF($A5="","",'Процессы'!P5)</f>
        <v/>
      </c>
      <c r="N5" s="23" t="str">
        <f>IF($A5="","",'Процессы'!Q5)</f>
        <v/>
      </c>
      <c r="O5" s="23" t="str">
        <f>IF($A5="","",'Процессы'!R5)</f>
        <v/>
      </c>
      <c r="P5" s="23" t="str">
        <f>IF($A5="","",'Процессы'!S5)</f>
        <v/>
      </c>
      <c r="Q5" s="23" t="str">
        <f>IF($A5="","",IF(COUNTA('Процессы'!B5,'Процессы'!E5,'Процессы'!F5,'Процессы'!H5,'Процессы'!I5,'Процессы'!J5,'Процессы'!M5,'Процессы'!O5,'Процессы'!P5,'Процессы'!R5,'Процессы'!S5)=11,"Готово","Есть пробелы"))</f>
        <v/>
      </c>
      <c r="R5" s="23" t="str">
        <f t="array" ref="R5">IF($A5="","",IFERROR(INDEX('Диаграммы'!$A$5:$A$104,MATCH($A5,'Диаграммы'!$B$5:$B$104,0)),"не настроена"))</f>
        <v/>
      </c>
      <c r="S5" s="23" t="str">
        <f t="array" ref="S5">IF(OR($A5="",$R5="не настроена"),"",IFERROR(INDEX('Диаграммы'!$M$5:$M$104,MATCH($R5,'Диаграммы'!$A$5:$A$104,0)),""))</f>
        <v/>
      </c>
      <c r="T5" s="23" t="str">
        <f t="array" ref="T5">IF(OR($A5="",$R5="не настроена"),"",IFERROR(HYPERLINK(INDEX('Диаграммы'!$O$5:$O$104,MATCH($R5,'Диаграммы'!$A$5:$A$104,0)),"открыть"),""))</f>
        <v/>
      </c>
    </row>
    <row r="6">
      <c r="A6" s="23" t="str">
        <f>IF('Процессы'!A6="","",'Процессы'!A6)</f>
        <v/>
      </c>
      <c r="B6" s="23" t="str">
        <f t="array" ref="B6">IF($A6="","",IFERROR(INDEX('Система'!$B$5:$B$14,MATCH('Процессы'!B6,'Система'!$A$5:$A$14,0)),"⚠ ID системы"))</f>
        <v/>
      </c>
      <c r="C6" s="23" t="str">
        <f>IF($A6="","",'Процессы'!C6)</f>
        <v/>
      </c>
      <c r="D6" s="23" t="str">
        <f>IF($A6="","",'Процессы'!E6)</f>
        <v/>
      </c>
      <c r="E6" s="23" t="str">
        <f>IF($A6="","",'Процессы'!F6)</f>
        <v/>
      </c>
      <c r="F6" s="23" t="str">
        <f>IF($A6="","",'Процессы'!H6)</f>
        <v/>
      </c>
      <c r="G6" s="23" t="str">
        <f>IF($A6="","",'Процессы'!I6)</f>
        <v/>
      </c>
      <c r="H6" s="23" t="str">
        <f>IF($A6="","",'Процессы'!J6)</f>
        <v/>
      </c>
      <c r="I6" s="23" t="str">
        <f t="array" ref="I6">IF($A6="","",IFERROR(INDEX('Позиции'!$C$5:$C$204,MATCH('Процессы'!M6,'Позиции'!$A$5:$A$204,0)),"⚠ ID позиции"))</f>
        <v/>
      </c>
      <c r="J6" s="23" t="str">
        <f>IF($A6="","",COUNTIF('Действия'!$B$5:$B$304,$A6))</f>
        <v/>
      </c>
      <c r="K6" s="23" t="str">
        <f>IF($A6="","",COUNTIF('Переходы'!$B$5:$B$304,$A6))</f>
        <v/>
      </c>
      <c r="L6" s="23" t="str">
        <f>IF($A6="","",'Процессы'!O6)</f>
        <v/>
      </c>
      <c r="M6" s="23" t="str">
        <f>IF($A6="","",'Процессы'!P6)</f>
        <v/>
      </c>
      <c r="N6" s="23" t="str">
        <f>IF($A6="","",'Процессы'!Q6)</f>
        <v/>
      </c>
      <c r="O6" s="23" t="str">
        <f>IF($A6="","",'Процессы'!R6)</f>
        <v/>
      </c>
      <c r="P6" s="23" t="str">
        <f>IF($A6="","",'Процессы'!S6)</f>
        <v/>
      </c>
      <c r="Q6" s="23" t="str">
        <f>IF($A6="","",IF(COUNTA('Процессы'!B6,'Процессы'!E6,'Процессы'!F6,'Процессы'!H6,'Процессы'!I6,'Процессы'!J6,'Процессы'!M6,'Процессы'!O6,'Процессы'!P6,'Процессы'!R6,'Процессы'!S6)=11,"Готово","Есть пробелы"))</f>
        <v/>
      </c>
      <c r="R6" s="23" t="str">
        <f t="array" ref="R6">IF($A6="","",IFERROR(INDEX('Диаграммы'!$A$5:$A$104,MATCH($A6,'Диаграммы'!$B$5:$B$104,0)),"не настроена"))</f>
        <v/>
      </c>
      <c r="S6" s="23" t="str">
        <f t="array" ref="S6">IF(OR($A6="",$R6="не настроена"),"",IFERROR(INDEX('Диаграммы'!$M$5:$M$104,MATCH($R6,'Диаграммы'!$A$5:$A$104,0)),""))</f>
        <v/>
      </c>
      <c r="T6" s="23" t="str">
        <f t="array" ref="T6">IF(OR($A6="",$R6="не настроена"),"",IFERROR(HYPERLINK(INDEX('Диаграммы'!$O$5:$O$104,MATCH($R6,'Диаграммы'!$A$5:$A$104,0)),"открыть"),""))</f>
        <v/>
      </c>
    </row>
    <row r="7">
      <c r="A7" s="23" t="str">
        <f>IF('Процессы'!A7="","",'Процессы'!A7)</f>
        <v/>
      </c>
      <c r="B7" s="23" t="str">
        <f t="array" ref="B7">IF($A7="","",IFERROR(INDEX('Система'!$B$5:$B$14,MATCH('Процессы'!B7,'Система'!$A$5:$A$14,0)),"⚠ ID системы"))</f>
        <v/>
      </c>
      <c r="C7" s="23" t="str">
        <f>IF($A7="","",'Процессы'!C7)</f>
        <v/>
      </c>
      <c r="D7" s="23" t="str">
        <f>IF($A7="","",'Процессы'!E7)</f>
        <v/>
      </c>
      <c r="E7" s="23" t="str">
        <f>IF($A7="","",'Процессы'!F7)</f>
        <v/>
      </c>
      <c r="F7" s="23" t="str">
        <f>IF($A7="","",'Процессы'!H7)</f>
        <v/>
      </c>
      <c r="G7" s="23" t="str">
        <f>IF($A7="","",'Процессы'!I7)</f>
        <v/>
      </c>
      <c r="H7" s="23" t="str">
        <f>IF($A7="","",'Процессы'!J7)</f>
        <v/>
      </c>
      <c r="I7" s="23" t="str">
        <f t="array" ref="I7">IF($A7="","",IFERROR(INDEX('Позиции'!$C$5:$C$204,MATCH('Процессы'!M7,'Позиции'!$A$5:$A$204,0)),"⚠ ID позиции"))</f>
        <v/>
      </c>
      <c r="J7" s="23" t="str">
        <f>IF($A7="","",COUNTIF('Действия'!$B$5:$B$304,$A7))</f>
        <v/>
      </c>
      <c r="K7" s="23" t="str">
        <f>IF($A7="","",COUNTIF('Переходы'!$B$5:$B$304,$A7))</f>
        <v/>
      </c>
      <c r="L7" s="23" t="str">
        <f>IF($A7="","",'Процессы'!O7)</f>
        <v/>
      </c>
      <c r="M7" s="23" t="str">
        <f>IF($A7="","",'Процессы'!P7)</f>
        <v/>
      </c>
      <c r="N7" s="23" t="str">
        <f>IF($A7="","",'Процессы'!Q7)</f>
        <v/>
      </c>
      <c r="O7" s="23" t="str">
        <f>IF($A7="","",'Процессы'!R7)</f>
        <v/>
      </c>
      <c r="P7" s="23" t="str">
        <f>IF($A7="","",'Процессы'!S7)</f>
        <v/>
      </c>
      <c r="Q7" s="23" t="str">
        <f>IF($A7="","",IF(COUNTA('Процессы'!B7,'Процессы'!E7,'Процессы'!F7,'Процессы'!H7,'Процессы'!I7,'Процессы'!J7,'Процессы'!M7,'Процессы'!O7,'Процессы'!P7,'Процессы'!R7,'Процессы'!S7)=11,"Готово","Есть пробелы"))</f>
        <v/>
      </c>
      <c r="R7" s="23" t="str">
        <f t="array" ref="R7">IF($A7="","",IFERROR(INDEX('Диаграммы'!$A$5:$A$104,MATCH($A7,'Диаграммы'!$B$5:$B$104,0)),"не настроена"))</f>
        <v/>
      </c>
      <c r="S7" s="23" t="str">
        <f t="array" ref="S7">IF(OR($A7="",$R7="не настроена"),"",IFERROR(INDEX('Диаграммы'!$M$5:$M$104,MATCH($R7,'Диаграммы'!$A$5:$A$104,0)),""))</f>
        <v/>
      </c>
      <c r="T7" s="23" t="str">
        <f t="array" ref="T7">IF(OR($A7="",$R7="не настроена"),"",IFERROR(HYPERLINK(INDEX('Диаграммы'!$O$5:$O$104,MATCH($R7,'Диаграммы'!$A$5:$A$104,0)),"открыть"),""))</f>
        <v/>
      </c>
    </row>
    <row r="8">
      <c r="A8" s="23" t="str">
        <f>IF('Процессы'!A8="","",'Процессы'!A8)</f>
        <v/>
      </c>
      <c r="B8" s="23" t="str">
        <f t="array" ref="B8">IF($A8="","",IFERROR(INDEX('Система'!$B$5:$B$14,MATCH('Процессы'!B8,'Система'!$A$5:$A$14,0)),"⚠ ID системы"))</f>
        <v/>
      </c>
      <c r="C8" s="23" t="str">
        <f>IF($A8="","",'Процессы'!C8)</f>
        <v/>
      </c>
      <c r="D8" s="23" t="str">
        <f>IF($A8="","",'Процессы'!E8)</f>
        <v/>
      </c>
      <c r="E8" s="23" t="str">
        <f>IF($A8="","",'Процессы'!F8)</f>
        <v/>
      </c>
      <c r="F8" s="23" t="str">
        <f>IF($A8="","",'Процессы'!H8)</f>
        <v/>
      </c>
      <c r="G8" s="23" t="str">
        <f>IF($A8="","",'Процессы'!I8)</f>
        <v/>
      </c>
      <c r="H8" s="23" t="str">
        <f>IF($A8="","",'Процессы'!J8)</f>
        <v/>
      </c>
      <c r="I8" s="23" t="str">
        <f t="array" ref="I8">IF($A8="","",IFERROR(INDEX('Позиции'!$C$5:$C$204,MATCH('Процессы'!M8,'Позиции'!$A$5:$A$204,0)),"⚠ ID позиции"))</f>
        <v/>
      </c>
      <c r="J8" s="23" t="str">
        <f>IF($A8="","",COUNTIF('Действия'!$B$5:$B$304,$A8))</f>
        <v/>
      </c>
      <c r="K8" s="23" t="str">
        <f>IF($A8="","",COUNTIF('Переходы'!$B$5:$B$304,$A8))</f>
        <v/>
      </c>
      <c r="L8" s="23" t="str">
        <f>IF($A8="","",'Процессы'!O8)</f>
        <v/>
      </c>
      <c r="M8" s="23" t="str">
        <f>IF($A8="","",'Процессы'!P8)</f>
        <v/>
      </c>
      <c r="N8" s="23" t="str">
        <f>IF($A8="","",'Процессы'!Q8)</f>
        <v/>
      </c>
      <c r="O8" s="23" t="str">
        <f>IF($A8="","",'Процессы'!R8)</f>
        <v/>
      </c>
      <c r="P8" s="23" t="str">
        <f>IF($A8="","",'Процессы'!S8)</f>
        <v/>
      </c>
      <c r="Q8" s="23" t="str">
        <f>IF($A8="","",IF(COUNTA('Процессы'!B8,'Процессы'!E8,'Процессы'!F8,'Процессы'!H8,'Процессы'!I8,'Процессы'!J8,'Процессы'!M8,'Процессы'!O8,'Процессы'!P8,'Процессы'!R8,'Процессы'!S8)=11,"Готово","Есть пробелы"))</f>
        <v/>
      </c>
      <c r="R8" s="23" t="str">
        <f t="array" ref="R8">IF($A8="","",IFERROR(INDEX('Диаграммы'!$A$5:$A$104,MATCH($A8,'Диаграммы'!$B$5:$B$104,0)),"не настроена"))</f>
        <v/>
      </c>
      <c r="S8" s="23" t="str">
        <f t="array" ref="S8">IF(OR($A8="",$R8="не настроена"),"",IFERROR(INDEX('Диаграммы'!$M$5:$M$104,MATCH($R8,'Диаграммы'!$A$5:$A$104,0)),""))</f>
        <v/>
      </c>
      <c r="T8" s="23" t="str">
        <f t="array" ref="T8">IF(OR($A8="",$R8="не настроена"),"",IFERROR(HYPERLINK(INDEX('Диаграммы'!$O$5:$O$104,MATCH($R8,'Диаграммы'!$A$5:$A$104,0)),"открыть"),""))</f>
        <v/>
      </c>
    </row>
    <row r="9">
      <c r="A9" s="23" t="str">
        <f>IF('Процессы'!A9="","",'Процессы'!A9)</f>
        <v/>
      </c>
      <c r="B9" s="23" t="str">
        <f t="array" ref="B9">IF($A9="","",IFERROR(INDEX('Система'!$B$5:$B$14,MATCH('Процессы'!B9,'Система'!$A$5:$A$14,0)),"⚠ ID системы"))</f>
        <v/>
      </c>
      <c r="C9" s="23" t="str">
        <f>IF($A9="","",'Процессы'!C9)</f>
        <v/>
      </c>
      <c r="D9" s="23" t="str">
        <f>IF($A9="","",'Процессы'!E9)</f>
        <v/>
      </c>
      <c r="E9" s="23" t="str">
        <f>IF($A9="","",'Процессы'!F9)</f>
        <v/>
      </c>
      <c r="F9" s="23" t="str">
        <f>IF($A9="","",'Процессы'!H9)</f>
        <v/>
      </c>
      <c r="G9" s="23" t="str">
        <f>IF($A9="","",'Процессы'!I9)</f>
        <v/>
      </c>
      <c r="H9" s="23" t="str">
        <f>IF($A9="","",'Процессы'!J9)</f>
        <v/>
      </c>
      <c r="I9" s="23" t="str">
        <f t="array" ref="I9">IF($A9="","",IFERROR(INDEX('Позиции'!$C$5:$C$204,MATCH('Процессы'!M9,'Позиции'!$A$5:$A$204,0)),"⚠ ID позиции"))</f>
        <v/>
      </c>
      <c r="J9" s="23" t="str">
        <f>IF($A9="","",COUNTIF('Действия'!$B$5:$B$304,$A9))</f>
        <v/>
      </c>
      <c r="K9" s="23" t="str">
        <f>IF($A9="","",COUNTIF('Переходы'!$B$5:$B$304,$A9))</f>
        <v/>
      </c>
      <c r="L9" s="23" t="str">
        <f>IF($A9="","",'Процессы'!O9)</f>
        <v/>
      </c>
      <c r="M9" s="23" t="str">
        <f>IF($A9="","",'Процессы'!P9)</f>
        <v/>
      </c>
      <c r="N9" s="23" t="str">
        <f>IF($A9="","",'Процессы'!Q9)</f>
        <v/>
      </c>
      <c r="O9" s="23" t="str">
        <f>IF($A9="","",'Процессы'!R9)</f>
        <v/>
      </c>
      <c r="P9" s="23" t="str">
        <f>IF($A9="","",'Процессы'!S9)</f>
        <v/>
      </c>
      <c r="Q9" s="23" t="str">
        <f>IF($A9="","",IF(COUNTA('Процессы'!B9,'Процессы'!E9,'Процессы'!F9,'Процессы'!H9,'Процессы'!I9,'Процессы'!J9,'Процессы'!M9,'Процессы'!O9,'Процессы'!P9,'Процессы'!R9,'Процессы'!S9)=11,"Готово","Есть пробелы"))</f>
        <v/>
      </c>
      <c r="R9" s="23" t="str">
        <f t="array" ref="R9">IF($A9="","",IFERROR(INDEX('Диаграммы'!$A$5:$A$104,MATCH($A9,'Диаграммы'!$B$5:$B$104,0)),"не настроена"))</f>
        <v/>
      </c>
      <c r="S9" s="23" t="str">
        <f t="array" ref="S9">IF(OR($A9="",$R9="не настроена"),"",IFERROR(INDEX('Диаграммы'!$M$5:$M$104,MATCH($R9,'Диаграммы'!$A$5:$A$104,0)),""))</f>
        <v/>
      </c>
      <c r="T9" s="23" t="str">
        <f t="array" ref="T9">IF(OR($A9="",$R9="не настроена"),"",IFERROR(HYPERLINK(INDEX('Диаграммы'!$O$5:$O$104,MATCH($R9,'Диаграммы'!$A$5:$A$104,0)),"открыть"),""))</f>
        <v/>
      </c>
    </row>
    <row r="10">
      <c r="A10" s="23" t="str">
        <f>IF('Процессы'!A10="","",'Процессы'!A10)</f>
        <v/>
      </c>
      <c r="B10" s="23" t="str">
        <f t="array" ref="B10">IF($A10="","",IFERROR(INDEX('Система'!$B$5:$B$14,MATCH('Процессы'!B10,'Система'!$A$5:$A$14,0)),"⚠ ID системы"))</f>
        <v/>
      </c>
      <c r="C10" s="23" t="str">
        <f>IF($A10="","",'Процессы'!C10)</f>
        <v/>
      </c>
      <c r="D10" s="23" t="str">
        <f>IF($A10="","",'Процессы'!E10)</f>
        <v/>
      </c>
      <c r="E10" s="23" t="str">
        <f>IF($A10="","",'Процессы'!F10)</f>
        <v/>
      </c>
      <c r="F10" s="23" t="str">
        <f>IF($A10="","",'Процессы'!H10)</f>
        <v/>
      </c>
      <c r="G10" s="23" t="str">
        <f>IF($A10="","",'Процессы'!I10)</f>
        <v/>
      </c>
      <c r="H10" s="23" t="str">
        <f>IF($A10="","",'Процессы'!J10)</f>
        <v/>
      </c>
      <c r="I10" s="23" t="str">
        <f t="array" ref="I10">IF($A10="","",IFERROR(INDEX('Позиции'!$C$5:$C$204,MATCH('Процессы'!M10,'Позиции'!$A$5:$A$204,0)),"⚠ ID позиции"))</f>
        <v/>
      </c>
      <c r="J10" s="23" t="str">
        <f>IF($A10="","",COUNTIF('Действия'!$B$5:$B$304,$A10))</f>
        <v/>
      </c>
      <c r="K10" s="23" t="str">
        <f>IF($A10="","",COUNTIF('Переходы'!$B$5:$B$304,$A10))</f>
        <v/>
      </c>
      <c r="L10" s="23" t="str">
        <f>IF($A10="","",'Процессы'!O10)</f>
        <v/>
      </c>
      <c r="M10" s="23" t="str">
        <f>IF($A10="","",'Процессы'!P10)</f>
        <v/>
      </c>
      <c r="N10" s="23" t="str">
        <f>IF($A10="","",'Процессы'!Q10)</f>
        <v/>
      </c>
      <c r="O10" s="23" t="str">
        <f>IF($A10="","",'Процессы'!R10)</f>
        <v/>
      </c>
      <c r="P10" s="23" t="str">
        <f>IF($A10="","",'Процессы'!S10)</f>
        <v/>
      </c>
      <c r="Q10" s="23" t="str">
        <f>IF($A10="","",IF(COUNTA('Процессы'!B10,'Процессы'!E10,'Процессы'!F10,'Процессы'!H10,'Процессы'!I10,'Процессы'!J10,'Процессы'!M10,'Процессы'!O10,'Процессы'!P10,'Процессы'!R10,'Процессы'!S10)=11,"Готово","Есть пробелы"))</f>
        <v/>
      </c>
      <c r="R10" s="23" t="str">
        <f t="array" ref="R10">IF($A10="","",IFERROR(INDEX('Диаграммы'!$A$5:$A$104,MATCH($A10,'Диаграммы'!$B$5:$B$104,0)),"не настроена"))</f>
        <v/>
      </c>
      <c r="S10" s="23" t="str">
        <f t="array" ref="S10">IF(OR($A10="",$R10="не настроена"),"",IFERROR(INDEX('Диаграммы'!$M$5:$M$104,MATCH($R10,'Диаграммы'!$A$5:$A$104,0)),""))</f>
        <v/>
      </c>
      <c r="T10" s="23" t="str">
        <f t="array" ref="T10">IF(OR($A10="",$R10="не настроена"),"",IFERROR(HYPERLINK(INDEX('Диаграммы'!$O$5:$O$104,MATCH($R10,'Диаграммы'!$A$5:$A$104,0)),"открыть"),""))</f>
        <v/>
      </c>
    </row>
    <row r="11">
      <c r="A11" s="23" t="str">
        <f>IF('Процессы'!A11="","",'Процессы'!A11)</f>
        <v/>
      </c>
      <c r="B11" s="23" t="str">
        <f t="array" ref="B11">IF($A11="","",IFERROR(INDEX('Система'!$B$5:$B$14,MATCH('Процессы'!B11,'Система'!$A$5:$A$14,0)),"⚠ ID системы"))</f>
        <v/>
      </c>
      <c r="C11" s="23" t="str">
        <f>IF($A11="","",'Процессы'!C11)</f>
        <v/>
      </c>
      <c r="D11" s="23" t="str">
        <f>IF($A11="","",'Процессы'!E11)</f>
        <v/>
      </c>
      <c r="E11" s="23" t="str">
        <f>IF($A11="","",'Процессы'!F11)</f>
        <v/>
      </c>
      <c r="F11" s="23" t="str">
        <f>IF($A11="","",'Процессы'!H11)</f>
        <v/>
      </c>
      <c r="G11" s="23" t="str">
        <f>IF($A11="","",'Процессы'!I11)</f>
        <v/>
      </c>
      <c r="H11" s="23" t="str">
        <f>IF($A11="","",'Процессы'!J11)</f>
        <v/>
      </c>
      <c r="I11" s="23" t="str">
        <f t="array" ref="I11">IF($A11="","",IFERROR(INDEX('Позиции'!$C$5:$C$204,MATCH('Процессы'!M11,'Позиции'!$A$5:$A$204,0)),"⚠ ID позиции"))</f>
        <v/>
      </c>
      <c r="J11" s="23" t="str">
        <f>IF($A11="","",COUNTIF('Действия'!$B$5:$B$304,$A11))</f>
        <v/>
      </c>
      <c r="K11" s="23" t="str">
        <f>IF($A11="","",COUNTIF('Переходы'!$B$5:$B$304,$A11))</f>
        <v/>
      </c>
      <c r="L11" s="23" t="str">
        <f>IF($A11="","",'Процессы'!O11)</f>
        <v/>
      </c>
      <c r="M11" s="23" t="str">
        <f>IF($A11="","",'Процессы'!P11)</f>
        <v/>
      </c>
      <c r="N11" s="23" t="str">
        <f>IF($A11="","",'Процессы'!Q11)</f>
        <v/>
      </c>
      <c r="O11" s="23" t="str">
        <f>IF($A11="","",'Процессы'!R11)</f>
        <v/>
      </c>
      <c r="P11" s="23" t="str">
        <f>IF($A11="","",'Процессы'!S11)</f>
        <v/>
      </c>
      <c r="Q11" s="23" t="str">
        <f>IF($A11="","",IF(COUNTA('Процессы'!B11,'Процессы'!E11,'Процессы'!F11,'Процессы'!H11,'Процессы'!I11,'Процессы'!J11,'Процессы'!M11,'Процессы'!O11,'Процессы'!P11,'Процессы'!R11,'Процессы'!S11)=11,"Готово","Есть пробелы"))</f>
        <v/>
      </c>
      <c r="R11" s="23" t="str">
        <f t="array" ref="R11">IF($A11="","",IFERROR(INDEX('Диаграммы'!$A$5:$A$104,MATCH($A11,'Диаграммы'!$B$5:$B$104,0)),"не настроена"))</f>
        <v/>
      </c>
      <c r="S11" s="23" t="str">
        <f t="array" ref="S11">IF(OR($A11="",$R11="не настроена"),"",IFERROR(INDEX('Диаграммы'!$M$5:$M$104,MATCH($R11,'Диаграммы'!$A$5:$A$104,0)),""))</f>
        <v/>
      </c>
      <c r="T11" s="23" t="str">
        <f t="array" ref="T11">IF(OR($A11="",$R11="не настроена"),"",IFERROR(HYPERLINK(INDEX('Диаграммы'!$O$5:$O$104,MATCH($R11,'Диаграммы'!$A$5:$A$104,0)),"открыть"),""))</f>
        <v/>
      </c>
    </row>
    <row r="12">
      <c r="A12" s="23" t="str">
        <f>IF('Процессы'!A12="","",'Процессы'!A12)</f>
        <v/>
      </c>
      <c r="B12" s="23" t="str">
        <f t="array" ref="B12">IF($A12="","",IFERROR(INDEX('Система'!$B$5:$B$14,MATCH('Процессы'!B12,'Система'!$A$5:$A$14,0)),"⚠ ID системы"))</f>
        <v/>
      </c>
      <c r="C12" s="23" t="str">
        <f>IF($A12="","",'Процессы'!C12)</f>
        <v/>
      </c>
      <c r="D12" s="23" t="str">
        <f>IF($A12="","",'Процессы'!E12)</f>
        <v/>
      </c>
      <c r="E12" s="23" t="str">
        <f>IF($A12="","",'Процессы'!F12)</f>
        <v/>
      </c>
      <c r="F12" s="23" t="str">
        <f>IF($A12="","",'Процессы'!H12)</f>
        <v/>
      </c>
      <c r="G12" s="23" t="str">
        <f>IF($A12="","",'Процессы'!I12)</f>
        <v/>
      </c>
      <c r="H12" s="23" t="str">
        <f>IF($A12="","",'Процессы'!J12)</f>
        <v/>
      </c>
      <c r="I12" s="23" t="str">
        <f t="array" ref="I12">IF($A12="","",IFERROR(INDEX('Позиции'!$C$5:$C$204,MATCH('Процессы'!M12,'Позиции'!$A$5:$A$204,0)),"⚠ ID позиции"))</f>
        <v/>
      </c>
      <c r="J12" s="23" t="str">
        <f>IF($A12="","",COUNTIF('Действия'!$B$5:$B$304,$A12))</f>
        <v/>
      </c>
      <c r="K12" s="23" t="str">
        <f>IF($A12="","",COUNTIF('Переходы'!$B$5:$B$304,$A12))</f>
        <v/>
      </c>
      <c r="L12" s="23" t="str">
        <f>IF($A12="","",'Процессы'!O12)</f>
        <v/>
      </c>
      <c r="M12" s="23" t="str">
        <f>IF($A12="","",'Процессы'!P12)</f>
        <v/>
      </c>
      <c r="N12" s="23" t="str">
        <f>IF($A12="","",'Процессы'!Q12)</f>
        <v/>
      </c>
      <c r="O12" s="23" t="str">
        <f>IF($A12="","",'Процессы'!R12)</f>
        <v/>
      </c>
      <c r="P12" s="23" t="str">
        <f>IF($A12="","",'Процессы'!S12)</f>
        <v/>
      </c>
      <c r="Q12" s="23" t="str">
        <f>IF($A12="","",IF(COUNTA('Процессы'!B12,'Процессы'!E12,'Процессы'!F12,'Процессы'!H12,'Процессы'!I12,'Процессы'!J12,'Процессы'!M12,'Процессы'!O12,'Процессы'!P12,'Процессы'!R12,'Процессы'!S12)=11,"Готово","Есть пробелы"))</f>
        <v/>
      </c>
      <c r="R12" s="23" t="str">
        <f t="array" ref="R12">IF($A12="","",IFERROR(INDEX('Диаграммы'!$A$5:$A$104,MATCH($A12,'Диаграммы'!$B$5:$B$104,0)),"не настроена"))</f>
        <v/>
      </c>
      <c r="S12" s="23" t="str">
        <f t="array" ref="S12">IF(OR($A12="",$R12="не настроена"),"",IFERROR(INDEX('Диаграммы'!$M$5:$M$104,MATCH($R12,'Диаграммы'!$A$5:$A$104,0)),""))</f>
        <v/>
      </c>
      <c r="T12" s="23" t="str">
        <f t="array" ref="T12">IF(OR($A12="",$R12="не настроена"),"",IFERROR(HYPERLINK(INDEX('Диаграммы'!$O$5:$O$104,MATCH($R12,'Диаграммы'!$A$5:$A$104,0)),"открыть"),""))</f>
        <v/>
      </c>
    </row>
    <row r="13">
      <c r="A13" s="23" t="str">
        <f>IF('Процессы'!A13="","",'Процессы'!A13)</f>
        <v/>
      </c>
      <c r="B13" s="23" t="str">
        <f t="array" ref="B13">IF($A13="","",IFERROR(INDEX('Система'!$B$5:$B$14,MATCH('Процессы'!B13,'Система'!$A$5:$A$14,0)),"⚠ ID системы"))</f>
        <v/>
      </c>
      <c r="C13" s="23" t="str">
        <f>IF($A13="","",'Процессы'!C13)</f>
        <v/>
      </c>
      <c r="D13" s="23" t="str">
        <f>IF($A13="","",'Процессы'!E13)</f>
        <v/>
      </c>
      <c r="E13" s="23" t="str">
        <f>IF($A13="","",'Процессы'!F13)</f>
        <v/>
      </c>
      <c r="F13" s="23" t="str">
        <f>IF($A13="","",'Процессы'!H13)</f>
        <v/>
      </c>
      <c r="G13" s="23" t="str">
        <f>IF($A13="","",'Процессы'!I13)</f>
        <v/>
      </c>
      <c r="H13" s="23" t="str">
        <f>IF($A13="","",'Процессы'!J13)</f>
        <v/>
      </c>
      <c r="I13" s="23" t="str">
        <f t="array" ref="I13">IF($A13="","",IFERROR(INDEX('Позиции'!$C$5:$C$204,MATCH('Процессы'!M13,'Позиции'!$A$5:$A$204,0)),"⚠ ID позиции"))</f>
        <v/>
      </c>
      <c r="J13" s="23" t="str">
        <f>IF($A13="","",COUNTIF('Действия'!$B$5:$B$304,$A13))</f>
        <v/>
      </c>
      <c r="K13" s="23" t="str">
        <f>IF($A13="","",COUNTIF('Переходы'!$B$5:$B$304,$A13))</f>
        <v/>
      </c>
      <c r="L13" s="23" t="str">
        <f>IF($A13="","",'Процессы'!O13)</f>
        <v/>
      </c>
      <c r="M13" s="23" t="str">
        <f>IF($A13="","",'Процессы'!P13)</f>
        <v/>
      </c>
      <c r="N13" s="23" t="str">
        <f>IF($A13="","",'Процессы'!Q13)</f>
        <v/>
      </c>
      <c r="O13" s="23" t="str">
        <f>IF($A13="","",'Процессы'!R13)</f>
        <v/>
      </c>
      <c r="P13" s="23" t="str">
        <f>IF($A13="","",'Процессы'!S13)</f>
        <v/>
      </c>
      <c r="Q13" s="23" t="str">
        <f>IF($A13="","",IF(COUNTA('Процессы'!B13,'Процессы'!E13,'Процессы'!F13,'Процессы'!H13,'Процессы'!I13,'Процессы'!J13,'Процессы'!M13,'Процессы'!O13,'Процессы'!P13,'Процессы'!R13,'Процессы'!S13)=11,"Готово","Есть пробелы"))</f>
        <v/>
      </c>
      <c r="R13" s="23" t="str">
        <f t="array" ref="R13">IF($A13="","",IFERROR(INDEX('Диаграммы'!$A$5:$A$104,MATCH($A13,'Диаграммы'!$B$5:$B$104,0)),"не настроена"))</f>
        <v/>
      </c>
      <c r="S13" s="23" t="str">
        <f t="array" ref="S13">IF(OR($A13="",$R13="не настроена"),"",IFERROR(INDEX('Диаграммы'!$M$5:$M$104,MATCH($R13,'Диаграммы'!$A$5:$A$104,0)),""))</f>
        <v/>
      </c>
      <c r="T13" s="23" t="str">
        <f t="array" ref="T13">IF(OR($A13="",$R13="не настроена"),"",IFERROR(HYPERLINK(INDEX('Диаграммы'!$O$5:$O$104,MATCH($R13,'Диаграммы'!$A$5:$A$104,0)),"открыть"),""))</f>
        <v/>
      </c>
    </row>
    <row r="14">
      <c r="A14" s="23" t="str">
        <f>IF('Процессы'!A14="","",'Процессы'!A14)</f>
        <v/>
      </c>
      <c r="B14" s="23" t="str">
        <f t="array" ref="B14">IF($A14="","",IFERROR(INDEX('Система'!$B$5:$B$14,MATCH('Процессы'!B14,'Система'!$A$5:$A$14,0)),"⚠ ID системы"))</f>
        <v/>
      </c>
      <c r="C14" s="23" t="str">
        <f>IF($A14="","",'Процессы'!C14)</f>
        <v/>
      </c>
      <c r="D14" s="23" t="str">
        <f>IF($A14="","",'Процессы'!E14)</f>
        <v/>
      </c>
      <c r="E14" s="23" t="str">
        <f>IF($A14="","",'Процессы'!F14)</f>
        <v/>
      </c>
      <c r="F14" s="23" t="str">
        <f>IF($A14="","",'Процессы'!H14)</f>
        <v/>
      </c>
      <c r="G14" s="23" t="str">
        <f>IF($A14="","",'Процессы'!I14)</f>
        <v/>
      </c>
      <c r="H14" s="23" t="str">
        <f>IF($A14="","",'Процессы'!J14)</f>
        <v/>
      </c>
      <c r="I14" s="23" t="str">
        <f t="array" ref="I14">IF($A14="","",IFERROR(INDEX('Позиции'!$C$5:$C$204,MATCH('Процессы'!M14,'Позиции'!$A$5:$A$204,0)),"⚠ ID позиции"))</f>
        <v/>
      </c>
      <c r="J14" s="23" t="str">
        <f>IF($A14="","",COUNTIF('Действия'!$B$5:$B$304,$A14))</f>
        <v/>
      </c>
      <c r="K14" s="23" t="str">
        <f>IF($A14="","",COUNTIF('Переходы'!$B$5:$B$304,$A14))</f>
        <v/>
      </c>
      <c r="L14" s="23" t="str">
        <f>IF($A14="","",'Процессы'!O14)</f>
        <v/>
      </c>
      <c r="M14" s="23" t="str">
        <f>IF($A14="","",'Процессы'!P14)</f>
        <v/>
      </c>
      <c r="N14" s="23" t="str">
        <f>IF($A14="","",'Процессы'!Q14)</f>
        <v/>
      </c>
      <c r="O14" s="23" t="str">
        <f>IF($A14="","",'Процессы'!R14)</f>
        <v/>
      </c>
      <c r="P14" s="23" t="str">
        <f>IF($A14="","",'Процессы'!S14)</f>
        <v/>
      </c>
      <c r="Q14" s="23" t="str">
        <f>IF($A14="","",IF(COUNTA('Процессы'!B14,'Процессы'!E14,'Процессы'!F14,'Процессы'!H14,'Процессы'!I14,'Процессы'!J14,'Процессы'!M14,'Процессы'!O14,'Процессы'!P14,'Процессы'!R14,'Процессы'!S14)=11,"Готово","Есть пробелы"))</f>
        <v/>
      </c>
      <c r="R14" s="23" t="str">
        <f t="array" ref="R14">IF($A14="","",IFERROR(INDEX('Диаграммы'!$A$5:$A$104,MATCH($A14,'Диаграммы'!$B$5:$B$104,0)),"не настроена"))</f>
        <v/>
      </c>
      <c r="S14" s="23" t="str">
        <f t="array" ref="S14">IF(OR($A14="",$R14="не настроена"),"",IFERROR(INDEX('Диаграммы'!$M$5:$M$104,MATCH($R14,'Диаграммы'!$A$5:$A$104,0)),""))</f>
        <v/>
      </c>
      <c r="T14" s="23" t="str">
        <f t="array" ref="T14">IF(OR($A14="",$R14="не настроена"),"",IFERROR(HYPERLINK(INDEX('Диаграммы'!$O$5:$O$104,MATCH($R14,'Диаграммы'!$A$5:$A$104,0)),"открыть"),""))</f>
        <v/>
      </c>
    </row>
    <row r="15">
      <c r="A15" s="23" t="str">
        <f>IF('Процессы'!A15="","",'Процессы'!A15)</f>
        <v/>
      </c>
      <c r="B15" s="23" t="str">
        <f t="array" ref="B15">IF($A15="","",IFERROR(INDEX('Система'!$B$5:$B$14,MATCH('Процессы'!B15,'Система'!$A$5:$A$14,0)),"⚠ ID системы"))</f>
        <v/>
      </c>
      <c r="C15" s="23" t="str">
        <f>IF($A15="","",'Процессы'!C15)</f>
        <v/>
      </c>
      <c r="D15" s="23" t="str">
        <f>IF($A15="","",'Процессы'!E15)</f>
        <v/>
      </c>
      <c r="E15" s="23" t="str">
        <f>IF($A15="","",'Процессы'!F15)</f>
        <v/>
      </c>
      <c r="F15" s="23" t="str">
        <f>IF($A15="","",'Процессы'!H15)</f>
        <v/>
      </c>
      <c r="G15" s="23" t="str">
        <f>IF($A15="","",'Процессы'!I15)</f>
        <v/>
      </c>
      <c r="H15" s="23" t="str">
        <f>IF($A15="","",'Процессы'!J15)</f>
        <v/>
      </c>
      <c r="I15" s="23" t="str">
        <f t="array" ref="I15">IF($A15="","",IFERROR(INDEX('Позиции'!$C$5:$C$204,MATCH('Процессы'!M15,'Позиции'!$A$5:$A$204,0)),"⚠ ID позиции"))</f>
        <v/>
      </c>
      <c r="J15" s="23" t="str">
        <f>IF($A15="","",COUNTIF('Действия'!$B$5:$B$304,$A15))</f>
        <v/>
      </c>
      <c r="K15" s="23" t="str">
        <f>IF($A15="","",COUNTIF('Переходы'!$B$5:$B$304,$A15))</f>
        <v/>
      </c>
      <c r="L15" s="23" t="str">
        <f>IF($A15="","",'Процессы'!O15)</f>
        <v/>
      </c>
      <c r="M15" s="23" t="str">
        <f>IF($A15="","",'Процессы'!P15)</f>
        <v/>
      </c>
      <c r="N15" s="23" t="str">
        <f>IF($A15="","",'Процессы'!Q15)</f>
        <v/>
      </c>
      <c r="O15" s="23" t="str">
        <f>IF($A15="","",'Процессы'!R15)</f>
        <v/>
      </c>
      <c r="P15" s="23" t="str">
        <f>IF($A15="","",'Процессы'!S15)</f>
        <v/>
      </c>
      <c r="Q15" s="23" t="str">
        <f>IF($A15="","",IF(COUNTA('Процессы'!B15,'Процессы'!E15,'Процессы'!F15,'Процессы'!H15,'Процессы'!I15,'Процессы'!J15,'Процессы'!M15,'Процессы'!O15,'Процессы'!P15,'Процессы'!R15,'Процессы'!S15)=11,"Готово","Есть пробелы"))</f>
        <v/>
      </c>
      <c r="R15" s="23" t="str">
        <f t="array" ref="R15">IF($A15="","",IFERROR(INDEX('Диаграммы'!$A$5:$A$104,MATCH($A15,'Диаграммы'!$B$5:$B$104,0)),"не настроена"))</f>
        <v/>
      </c>
      <c r="S15" s="23" t="str">
        <f t="array" ref="S15">IF(OR($A15="",$R15="не настроена"),"",IFERROR(INDEX('Диаграммы'!$M$5:$M$104,MATCH($R15,'Диаграммы'!$A$5:$A$104,0)),""))</f>
        <v/>
      </c>
      <c r="T15" s="23" t="str">
        <f t="array" ref="T15">IF(OR($A15="",$R15="не настроена"),"",IFERROR(HYPERLINK(INDEX('Диаграммы'!$O$5:$O$104,MATCH($R15,'Диаграммы'!$A$5:$A$104,0)),"открыть"),""))</f>
        <v/>
      </c>
    </row>
    <row r="16">
      <c r="A16" s="23" t="str">
        <f>IF('Процессы'!A16="","",'Процессы'!A16)</f>
        <v/>
      </c>
      <c r="B16" s="23" t="str">
        <f t="array" ref="B16">IF($A16="","",IFERROR(INDEX('Система'!$B$5:$B$14,MATCH('Процессы'!B16,'Система'!$A$5:$A$14,0)),"⚠ ID системы"))</f>
        <v/>
      </c>
      <c r="C16" s="23" t="str">
        <f>IF($A16="","",'Процессы'!C16)</f>
        <v/>
      </c>
      <c r="D16" s="23" t="str">
        <f>IF($A16="","",'Процессы'!E16)</f>
        <v/>
      </c>
      <c r="E16" s="23" t="str">
        <f>IF($A16="","",'Процессы'!F16)</f>
        <v/>
      </c>
      <c r="F16" s="23" t="str">
        <f>IF($A16="","",'Процессы'!H16)</f>
        <v/>
      </c>
      <c r="G16" s="23" t="str">
        <f>IF($A16="","",'Процессы'!I16)</f>
        <v/>
      </c>
      <c r="H16" s="23" t="str">
        <f>IF($A16="","",'Процессы'!J16)</f>
        <v/>
      </c>
      <c r="I16" s="23" t="str">
        <f t="array" ref="I16">IF($A16="","",IFERROR(INDEX('Позиции'!$C$5:$C$204,MATCH('Процессы'!M16,'Позиции'!$A$5:$A$204,0)),"⚠ ID позиции"))</f>
        <v/>
      </c>
      <c r="J16" s="23" t="str">
        <f>IF($A16="","",COUNTIF('Действия'!$B$5:$B$304,$A16))</f>
        <v/>
      </c>
      <c r="K16" s="23" t="str">
        <f>IF($A16="","",COUNTIF('Переходы'!$B$5:$B$304,$A16))</f>
        <v/>
      </c>
      <c r="L16" s="23" t="str">
        <f>IF($A16="","",'Процессы'!O16)</f>
        <v/>
      </c>
      <c r="M16" s="23" t="str">
        <f>IF($A16="","",'Процессы'!P16)</f>
        <v/>
      </c>
      <c r="N16" s="23" t="str">
        <f>IF($A16="","",'Процессы'!Q16)</f>
        <v/>
      </c>
      <c r="O16" s="23" t="str">
        <f>IF($A16="","",'Процессы'!R16)</f>
        <v/>
      </c>
      <c r="P16" s="23" t="str">
        <f>IF($A16="","",'Процессы'!S16)</f>
        <v/>
      </c>
      <c r="Q16" s="23" t="str">
        <f>IF($A16="","",IF(COUNTA('Процессы'!B16,'Процессы'!E16,'Процессы'!F16,'Процессы'!H16,'Процессы'!I16,'Процессы'!J16,'Процессы'!M16,'Процессы'!O16,'Процессы'!P16,'Процессы'!R16,'Процессы'!S16)=11,"Готово","Есть пробелы"))</f>
        <v/>
      </c>
      <c r="R16" s="23" t="str">
        <f t="array" ref="R16">IF($A16="","",IFERROR(INDEX('Диаграммы'!$A$5:$A$104,MATCH($A16,'Диаграммы'!$B$5:$B$104,0)),"не настроена"))</f>
        <v/>
      </c>
      <c r="S16" s="23" t="str">
        <f t="array" ref="S16">IF(OR($A16="",$R16="не настроена"),"",IFERROR(INDEX('Диаграммы'!$M$5:$M$104,MATCH($R16,'Диаграммы'!$A$5:$A$104,0)),""))</f>
        <v/>
      </c>
      <c r="T16" s="23" t="str">
        <f t="array" ref="T16">IF(OR($A16="",$R16="не настроена"),"",IFERROR(HYPERLINK(INDEX('Диаграммы'!$O$5:$O$104,MATCH($R16,'Диаграммы'!$A$5:$A$104,0)),"открыть"),""))</f>
        <v/>
      </c>
    </row>
    <row r="17">
      <c r="A17" s="23" t="str">
        <f>IF('Процессы'!A17="","",'Процессы'!A17)</f>
        <v/>
      </c>
      <c r="B17" s="23" t="str">
        <f t="array" ref="B17">IF($A17="","",IFERROR(INDEX('Система'!$B$5:$B$14,MATCH('Процессы'!B17,'Система'!$A$5:$A$14,0)),"⚠ ID системы"))</f>
        <v/>
      </c>
      <c r="C17" s="23" t="str">
        <f>IF($A17="","",'Процессы'!C17)</f>
        <v/>
      </c>
      <c r="D17" s="23" t="str">
        <f>IF($A17="","",'Процессы'!E17)</f>
        <v/>
      </c>
      <c r="E17" s="23" t="str">
        <f>IF($A17="","",'Процессы'!F17)</f>
        <v/>
      </c>
      <c r="F17" s="23" t="str">
        <f>IF($A17="","",'Процессы'!H17)</f>
        <v/>
      </c>
      <c r="G17" s="23" t="str">
        <f>IF($A17="","",'Процессы'!I17)</f>
        <v/>
      </c>
      <c r="H17" s="23" t="str">
        <f>IF($A17="","",'Процессы'!J17)</f>
        <v/>
      </c>
      <c r="I17" s="23" t="str">
        <f t="array" ref="I17">IF($A17="","",IFERROR(INDEX('Позиции'!$C$5:$C$204,MATCH('Процессы'!M17,'Позиции'!$A$5:$A$204,0)),"⚠ ID позиции"))</f>
        <v/>
      </c>
      <c r="J17" s="23" t="str">
        <f>IF($A17="","",COUNTIF('Действия'!$B$5:$B$304,$A17))</f>
        <v/>
      </c>
      <c r="K17" s="23" t="str">
        <f>IF($A17="","",COUNTIF('Переходы'!$B$5:$B$304,$A17))</f>
        <v/>
      </c>
      <c r="L17" s="23" t="str">
        <f>IF($A17="","",'Процессы'!O17)</f>
        <v/>
      </c>
      <c r="M17" s="23" t="str">
        <f>IF($A17="","",'Процессы'!P17)</f>
        <v/>
      </c>
      <c r="N17" s="23" t="str">
        <f>IF($A17="","",'Процессы'!Q17)</f>
        <v/>
      </c>
      <c r="O17" s="23" t="str">
        <f>IF($A17="","",'Процессы'!R17)</f>
        <v/>
      </c>
      <c r="P17" s="23" t="str">
        <f>IF($A17="","",'Процессы'!S17)</f>
        <v/>
      </c>
      <c r="Q17" s="23" t="str">
        <f>IF($A17="","",IF(COUNTA('Процессы'!B17,'Процессы'!E17,'Процессы'!F17,'Процессы'!H17,'Процессы'!I17,'Процессы'!J17,'Процессы'!M17,'Процессы'!O17,'Процессы'!P17,'Процессы'!R17,'Процессы'!S17)=11,"Готово","Есть пробелы"))</f>
        <v/>
      </c>
      <c r="R17" s="23" t="str">
        <f t="array" ref="R17">IF($A17="","",IFERROR(INDEX('Диаграммы'!$A$5:$A$104,MATCH($A17,'Диаграммы'!$B$5:$B$104,0)),"не настроена"))</f>
        <v/>
      </c>
      <c r="S17" s="23" t="str">
        <f t="array" ref="S17">IF(OR($A17="",$R17="не настроена"),"",IFERROR(INDEX('Диаграммы'!$M$5:$M$104,MATCH($R17,'Диаграммы'!$A$5:$A$104,0)),""))</f>
        <v/>
      </c>
      <c r="T17" s="23" t="str">
        <f t="array" ref="T17">IF(OR($A17="",$R17="не настроена"),"",IFERROR(HYPERLINK(INDEX('Диаграммы'!$O$5:$O$104,MATCH($R17,'Диаграммы'!$A$5:$A$104,0)),"открыть"),""))</f>
        <v/>
      </c>
    </row>
    <row r="18">
      <c r="A18" s="23" t="str">
        <f>IF('Процессы'!A18="","",'Процессы'!A18)</f>
        <v/>
      </c>
      <c r="B18" s="23" t="str">
        <f t="array" ref="B18">IF($A18="","",IFERROR(INDEX('Система'!$B$5:$B$14,MATCH('Процессы'!B18,'Система'!$A$5:$A$14,0)),"⚠ ID системы"))</f>
        <v/>
      </c>
      <c r="C18" s="23" t="str">
        <f>IF($A18="","",'Процессы'!C18)</f>
        <v/>
      </c>
      <c r="D18" s="23" t="str">
        <f>IF($A18="","",'Процессы'!E18)</f>
        <v/>
      </c>
      <c r="E18" s="23" t="str">
        <f>IF($A18="","",'Процессы'!F18)</f>
        <v/>
      </c>
      <c r="F18" s="23" t="str">
        <f>IF($A18="","",'Процессы'!H18)</f>
        <v/>
      </c>
      <c r="G18" s="23" t="str">
        <f>IF($A18="","",'Процессы'!I18)</f>
        <v/>
      </c>
      <c r="H18" s="23" t="str">
        <f>IF($A18="","",'Процессы'!J18)</f>
        <v/>
      </c>
      <c r="I18" s="23" t="str">
        <f t="array" ref="I18">IF($A18="","",IFERROR(INDEX('Позиции'!$C$5:$C$204,MATCH('Процессы'!M18,'Позиции'!$A$5:$A$204,0)),"⚠ ID позиции"))</f>
        <v/>
      </c>
      <c r="J18" s="23" t="str">
        <f>IF($A18="","",COUNTIF('Действия'!$B$5:$B$304,$A18))</f>
        <v/>
      </c>
      <c r="K18" s="23" t="str">
        <f>IF($A18="","",COUNTIF('Переходы'!$B$5:$B$304,$A18))</f>
        <v/>
      </c>
      <c r="L18" s="23" t="str">
        <f>IF($A18="","",'Процессы'!O18)</f>
        <v/>
      </c>
      <c r="M18" s="23" t="str">
        <f>IF($A18="","",'Процессы'!P18)</f>
        <v/>
      </c>
      <c r="N18" s="23" t="str">
        <f>IF($A18="","",'Процессы'!Q18)</f>
        <v/>
      </c>
      <c r="O18" s="23" t="str">
        <f>IF($A18="","",'Процессы'!R18)</f>
        <v/>
      </c>
      <c r="P18" s="23" t="str">
        <f>IF($A18="","",'Процессы'!S18)</f>
        <v/>
      </c>
      <c r="Q18" s="23" t="str">
        <f>IF($A18="","",IF(COUNTA('Процессы'!B18,'Процессы'!E18,'Процессы'!F18,'Процессы'!H18,'Процессы'!I18,'Процессы'!J18,'Процессы'!M18,'Процессы'!O18,'Процессы'!P18,'Процессы'!R18,'Процессы'!S18)=11,"Готово","Есть пробелы"))</f>
        <v/>
      </c>
      <c r="R18" s="23" t="str">
        <f t="array" ref="R18">IF($A18="","",IFERROR(INDEX('Диаграммы'!$A$5:$A$104,MATCH($A18,'Диаграммы'!$B$5:$B$104,0)),"не настроена"))</f>
        <v/>
      </c>
      <c r="S18" s="23" t="str">
        <f t="array" ref="S18">IF(OR($A18="",$R18="не настроена"),"",IFERROR(INDEX('Диаграммы'!$M$5:$M$104,MATCH($R18,'Диаграммы'!$A$5:$A$104,0)),""))</f>
        <v/>
      </c>
      <c r="T18" s="23" t="str">
        <f t="array" ref="T18">IF(OR($A18="",$R18="не настроена"),"",IFERROR(HYPERLINK(INDEX('Диаграммы'!$O$5:$O$104,MATCH($R18,'Диаграммы'!$A$5:$A$104,0)),"открыть"),""))</f>
        <v/>
      </c>
    </row>
    <row r="19">
      <c r="A19" s="23" t="str">
        <f>IF('Процессы'!A19="","",'Процессы'!A19)</f>
        <v/>
      </c>
      <c r="B19" s="23" t="str">
        <f t="array" ref="B19">IF($A19="","",IFERROR(INDEX('Система'!$B$5:$B$14,MATCH('Процессы'!B19,'Система'!$A$5:$A$14,0)),"⚠ ID системы"))</f>
        <v/>
      </c>
      <c r="C19" s="23" t="str">
        <f>IF($A19="","",'Процессы'!C19)</f>
        <v/>
      </c>
      <c r="D19" s="23" t="str">
        <f>IF($A19="","",'Процессы'!E19)</f>
        <v/>
      </c>
      <c r="E19" s="23" t="str">
        <f>IF($A19="","",'Процессы'!F19)</f>
        <v/>
      </c>
      <c r="F19" s="23" t="str">
        <f>IF($A19="","",'Процессы'!H19)</f>
        <v/>
      </c>
      <c r="G19" s="23" t="str">
        <f>IF($A19="","",'Процессы'!I19)</f>
        <v/>
      </c>
      <c r="H19" s="23" t="str">
        <f>IF($A19="","",'Процессы'!J19)</f>
        <v/>
      </c>
      <c r="I19" s="23" t="str">
        <f t="array" ref="I19">IF($A19="","",IFERROR(INDEX('Позиции'!$C$5:$C$204,MATCH('Процессы'!M19,'Позиции'!$A$5:$A$204,0)),"⚠ ID позиции"))</f>
        <v/>
      </c>
      <c r="J19" s="23" t="str">
        <f>IF($A19="","",COUNTIF('Действия'!$B$5:$B$304,$A19))</f>
        <v/>
      </c>
      <c r="K19" s="23" t="str">
        <f>IF($A19="","",COUNTIF('Переходы'!$B$5:$B$304,$A19))</f>
        <v/>
      </c>
      <c r="L19" s="23" t="str">
        <f>IF($A19="","",'Процессы'!O19)</f>
        <v/>
      </c>
      <c r="M19" s="23" t="str">
        <f>IF($A19="","",'Процессы'!P19)</f>
        <v/>
      </c>
      <c r="N19" s="23" t="str">
        <f>IF($A19="","",'Процессы'!Q19)</f>
        <v/>
      </c>
      <c r="O19" s="23" t="str">
        <f>IF($A19="","",'Процессы'!R19)</f>
        <v/>
      </c>
      <c r="P19" s="23" t="str">
        <f>IF($A19="","",'Процессы'!S19)</f>
        <v/>
      </c>
      <c r="Q19" s="23" t="str">
        <f>IF($A19="","",IF(COUNTA('Процессы'!B19,'Процессы'!E19,'Процессы'!F19,'Процессы'!H19,'Процессы'!I19,'Процессы'!J19,'Процессы'!M19,'Процессы'!O19,'Процессы'!P19,'Процессы'!R19,'Процессы'!S19)=11,"Готово","Есть пробелы"))</f>
        <v/>
      </c>
      <c r="R19" s="23" t="str">
        <f t="array" ref="R19">IF($A19="","",IFERROR(INDEX('Диаграммы'!$A$5:$A$104,MATCH($A19,'Диаграммы'!$B$5:$B$104,0)),"не настроена"))</f>
        <v/>
      </c>
      <c r="S19" s="23" t="str">
        <f t="array" ref="S19">IF(OR($A19="",$R19="не настроена"),"",IFERROR(INDEX('Диаграммы'!$M$5:$M$104,MATCH($R19,'Диаграммы'!$A$5:$A$104,0)),""))</f>
        <v/>
      </c>
      <c r="T19" s="23" t="str">
        <f t="array" ref="T19">IF(OR($A19="",$R19="не настроена"),"",IFERROR(HYPERLINK(INDEX('Диаграммы'!$O$5:$O$104,MATCH($R19,'Диаграммы'!$A$5:$A$104,0)),"открыть"),""))</f>
        <v/>
      </c>
    </row>
    <row r="20">
      <c r="A20" s="23" t="str">
        <f>IF('Процессы'!A20="","",'Процессы'!A20)</f>
        <v/>
      </c>
      <c r="B20" s="23" t="str">
        <f t="array" ref="B20">IF($A20="","",IFERROR(INDEX('Система'!$B$5:$B$14,MATCH('Процессы'!B20,'Система'!$A$5:$A$14,0)),"⚠ ID системы"))</f>
        <v/>
      </c>
      <c r="C20" s="23" t="str">
        <f>IF($A20="","",'Процессы'!C20)</f>
        <v/>
      </c>
      <c r="D20" s="23" t="str">
        <f>IF($A20="","",'Процессы'!E20)</f>
        <v/>
      </c>
      <c r="E20" s="23" t="str">
        <f>IF($A20="","",'Процессы'!F20)</f>
        <v/>
      </c>
      <c r="F20" s="23" t="str">
        <f>IF($A20="","",'Процессы'!H20)</f>
        <v/>
      </c>
      <c r="G20" s="23" t="str">
        <f>IF($A20="","",'Процессы'!I20)</f>
        <v/>
      </c>
      <c r="H20" s="23" t="str">
        <f>IF($A20="","",'Процессы'!J20)</f>
        <v/>
      </c>
      <c r="I20" s="23" t="str">
        <f t="array" ref="I20">IF($A20="","",IFERROR(INDEX('Позиции'!$C$5:$C$204,MATCH('Процессы'!M20,'Позиции'!$A$5:$A$204,0)),"⚠ ID позиции"))</f>
        <v/>
      </c>
      <c r="J20" s="23" t="str">
        <f>IF($A20="","",COUNTIF('Действия'!$B$5:$B$304,$A20))</f>
        <v/>
      </c>
      <c r="K20" s="23" t="str">
        <f>IF($A20="","",COUNTIF('Переходы'!$B$5:$B$304,$A20))</f>
        <v/>
      </c>
      <c r="L20" s="23" t="str">
        <f>IF($A20="","",'Процессы'!O20)</f>
        <v/>
      </c>
      <c r="M20" s="23" t="str">
        <f>IF($A20="","",'Процессы'!P20)</f>
        <v/>
      </c>
      <c r="N20" s="23" t="str">
        <f>IF($A20="","",'Процессы'!Q20)</f>
        <v/>
      </c>
      <c r="O20" s="23" t="str">
        <f>IF($A20="","",'Процессы'!R20)</f>
        <v/>
      </c>
      <c r="P20" s="23" t="str">
        <f>IF($A20="","",'Процессы'!S20)</f>
        <v/>
      </c>
      <c r="Q20" s="23" t="str">
        <f>IF($A20="","",IF(COUNTA('Процессы'!B20,'Процессы'!E20,'Процессы'!F20,'Процессы'!H20,'Процессы'!I20,'Процессы'!J20,'Процессы'!M20,'Процессы'!O20,'Процессы'!P20,'Процессы'!R20,'Процессы'!S20)=11,"Готово","Есть пробелы"))</f>
        <v/>
      </c>
      <c r="R20" s="23" t="str">
        <f t="array" ref="R20">IF($A20="","",IFERROR(INDEX('Диаграммы'!$A$5:$A$104,MATCH($A20,'Диаграммы'!$B$5:$B$104,0)),"не настроена"))</f>
        <v/>
      </c>
      <c r="S20" s="23" t="str">
        <f t="array" ref="S20">IF(OR($A20="",$R20="не настроена"),"",IFERROR(INDEX('Диаграммы'!$M$5:$M$104,MATCH($R20,'Диаграммы'!$A$5:$A$104,0)),""))</f>
        <v/>
      </c>
      <c r="T20" s="23" t="str">
        <f t="array" ref="T20">IF(OR($A20="",$R20="не настроена"),"",IFERROR(HYPERLINK(INDEX('Диаграммы'!$O$5:$O$104,MATCH($R20,'Диаграммы'!$A$5:$A$104,0)),"открыть"),""))</f>
        <v/>
      </c>
    </row>
    <row r="21" ht="15.75" customHeight="1">
      <c r="A21" s="23" t="str">
        <f>IF('Процессы'!A21="","",'Процессы'!A21)</f>
        <v/>
      </c>
      <c r="B21" s="23" t="str">
        <f t="array" ref="B21">IF($A21="","",IFERROR(INDEX('Система'!$B$5:$B$14,MATCH('Процессы'!B21,'Система'!$A$5:$A$14,0)),"⚠ ID системы"))</f>
        <v/>
      </c>
      <c r="C21" s="23" t="str">
        <f>IF($A21="","",'Процессы'!C21)</f>
        <v/>
      </c>
      <c r="D21" s="23" t="str">
        <f>IF($A21="","",'Процессы'!E21)</f>
        <v/>
      </c>
      <c r="E21" s="23" t="str">
        <f>IF($A21="","",'Процессы'!F21)</f>
        <v/>
      </c>
      <c r="F21" s="23" t="str">
        <f>IF($A21="","",'Процессы'!H21)</f>
        <v/>
      </c>
      <c r="G21" s="23" t="str">
        <f>IF($A21="","",'Процессы'!I21)</f>
        <v/>
      </c>
      <c r="H21" s="23" t="str">
        <f>IF($A21="","",'Процессы'!J21)</f>
        <v/>
      </c>
      <c r="I21" s="23" t="str">
        <f t="array" ref="I21">IF($A21="","",IFERROR(INDEX('Позиции'!$C$5:$C$204,MATCH('Процессы'!M21,'Позиции'!$A$5:$A$204,0)),"⚠ ID позиции"))</f>
        <v/>
      </c>
      <c r="J21" s="23" t="str">
        <f>IF($A21="","",COUNTIF('Действия'!$B$5:$B$304,$A21))</f>
        <v/>
      </c>
      <c r="K21" s="23" t="str">
        <f>IF($A21="","",COUNTIF('Переходы'!$B$5:$B$304,$A21))</f>
        <v/>
      </c>
      <c r="L21" s="23" t="str">
        <f>IF($A21="","",'Процессы'!O21)</f>
        <v/>
      </c>
      <c r="M21" s="23" t="str">
        <f>IF($A21="","",'Процессы'!P21)</f>
        <v/>
      </c>
      <c r="N21" s="23" t="str">
        <f>IF($A21="","",'Процессы'!Q21)</f>
        <v/>
      </c>
      <c r="O21" s="23" t="str">
        <f>IF($A21="","",'Процессы'!R21)</f>
        <v/>
      </c>
      <c r="P21" s="23" t="str">
        <f>IF($A21="","",'Процессы'!S21)</f>
        <v/>
      </c>
      <c r="Q21" s="23" t="str">
        <f>IF($A21="","",IF(COUNTA('Процессы'!B21,'Процессы'!E21,'Процессы'!F21,'Процессы'!H21,'Процессы'!I21,'Процессы'!J21,'Процессы'!M21,'Процессы'!O21,'Процессы'!P21,'Процессы'!R21,'Процессы'!S21)=11,"Готово","Есть пробелы"))</f>
        <v/>
      </c>
      <c r="R21" s="23" t="str">
        <f t="array" ref="R21">IF($A21="","",IFERROR(INDEX('Диаграммы'!$A$5:$A$104,MATCH($A21,'Диаграммы'!$B$5:$B$104,0)),"не настроена"))</f>
        <v/>
      </c>
      <c r="S21" s="23" t="str">
        <f t="array" ref="S21">IF(OR($A21="",$R21="не настроена"),"",IFERROR(INDEX('Диаграммы'!$M$5:$M$104,MATCH($R21,'Диаграммы'!$A$5:$A$104,0)),""))</f>
        <v/>
      </c>
      <c r="T21" s="23" t="str">
        <f t="array" ref="T21">IF(OR($A21="",$R21="не настроена"),"",IFERROR(HYPERLINK(INDEX('Диаграммы'!$O$5:$O$104,MATCH($R21,'Диаграммы'!$A$5:$A$104,0)),"открыть"),""))</f>
        <v/>
      </c>
    </row>
    <row r="22" ht="15.75" customHeight="1">
      <c r="A22" s="23" t="str">
        <f>IF('Процессы'!A22="","",'Процессы'!A22)</f>
        <v/>
      </c>
      <c r="B22" s="23" t="str">
        <f t="array" ref="B22">IF($A22="","",IFERROR(INDEX('Система'!$B$5:$B$14,MATCH('Процессы'!B22,'Система'!$A$5:$A$14,0)),"⚠ ID системы"))</f>
        <v/>
      </c>
      <c r="C22" s="23" t="str">
        <f>IF($A22="","",'Процессы'!C22)</f>
        <v/>
      </c>
      <c r="D22" s="23" t="str">
        <f>IF($A22="","",'Процессы'!E22)</f>
        <v/>
      </c>
      <c r="E22" s="23" t="str">
        <f>IF($A22="","",'Процессы'!F22)</f>
        <v/>
      </c>
      <c r="F22" s="23" t="str">
        <f>IF($A22="","",'Процессы'!H22)</f>
        <v/>
      </c>
      <c r="G22" s="23" t="str">
        <f>IF($A22="","",'Процессы'!I22)</f>
        <v/>
      </c>
      <c r="H22" s="23" t="str">
        <f>IF($A22="","",'Процессы'!J22)</f>
        <v/>
      </c>
      <c r="I22" s="23" t="str">
        <f t="array" ref="I22">IF($A22="","",IFERROR(INDEX('Позиции'!$C$5:$C$204,MATCH('Процессы'!M22,'Позиции'!$A$5:$A$204,0)),"⚠ ID позиции"))</f>
        <v/>
      </c>
      <c r="J22" s="23" t="str">
        <f>IF($A22="","",COUNTIF('Действия'!$B$5:$B$304,$A22))</f>
        <v/>
      </c>
      <c r="K22" s="23" t="str">
        <f>IF($A22="","",COUNTIF('Переходы'!$B$5:$B$304,$A22))</f>
        <v/>
      </c>
      <c r="L22" s="23" t="str">
        <f>IF($A22="","",'Процессы'!O22)</f>
        <v/>
      </c>
      <c r="M22" s="23" t="str">
        <f>IF($A22="","",'Процессы'!P22)</f>
        <v/>
      </c>
      <c r="N22" s="23" t="str">
        <f>IF($A22="","",'Процессы'!Q22)</f>
        <v/>
      </c>
      <c r="O22" s="23" t="str">
        <f>IF($A22="","",'Процессы'!R22)</f>
        <v/>
      </c>
      <c r="P22" s="23" t="str">
        <f>IF($A22="","",'Процессы'!S22)</f>
        <v/>
      </c>
      <c r="Q22" s="23" t="str">
        <f>IF($A22="","",IF(COUNTA('Процессы'!B22,'Процессы'!E22,'Процессы'!F22,'Процессы'!H22,'Процессы'!I22,'Процессы'!J22,'Процессы'!M22,'Процессы'!O22,'Процессы'!P22,'Процессы'!R22,'Процессы'!S22)=11,"Готово","Есть пробелы"))</f>
        <v/>
      </c>
      <c r="R22" s="23" t="str">
        <f t="array" ref="R22">IF($A22="","",IFERROR(INDEX('Диаграммы'!$A$5:$A$104,MATCH($A22,'Диаграммы'!$B$5:$B$104,0)),"не настроена"))</f>
        <v/>
      </c>
      <c r="S22" s="23" t="str">
        <f t="array" ref="S22">IF(OR($A22="",$R22="не настроена"),"",IFERROR(INDEX('Диаграммы'!$M$5:$M$104,MATCH($R22,'Диаграммы'!$A$5:$A$104,0)),""))</f>
        <v/>
      </c>
      <c r="T22" s="23" t="str">
        <f t="array" ref="T22">IF(OR($A22="",$R22="не настроена"),"",IFERROR(HYPERLINK(INDEX('Диаграммы'!$O$5:$O$104,MATCH($R22,'Диаграммы'!$A$5:$A$104,0)),"открыть"),""))</f>
        <v/>
      </c>
    </row>
    <row r="23" ht="15.75" customHeight="1">
      <c r="A23" s="23" t="str">
        <f>IF('Процессы'!A23="","",'Процессы'!A23)</f>
        <v/>
      </c>
      <c r="B23" s="23" t="str">
        <f t="array" ref="B23">IF($A23="","",IFERROR(INDEX('Система'!$B$5:$B$14,MATCH('Процессы'!B23,'Система'!$A$5:$A$14,0)),"⚠ ID системы"))</f>
        <v/>
      </c>
      <c r="C23" s="23" t="str">
        <f>IF($A23="","",'Процессы'!C23)</f>
        <v/>
      </c>
      <c r="D23" s="23" t="str">
        <f>IF($A23="","",'Процессы'!E23)</f>
        <v/>
      </c>
      <c r="E23" s="23" t="str">
        <f>IF($A23="","",'Процессы'!F23)</f>
        <v/>
      </c>
      <c r="F23" s="23" t="str">
        <f>IF($A23="","",'Процессы'!H23)</f>
        <v/>
      </c>
      <c r="G23" s="23" t="str">
        <f>IF($A23="","",'Процессы'!I23)</f>
        <v/>
      </c>
      <c r="H23" s="23" t="str">
        <f>IF($A23="","",'Процессы'!J23)</f>
        <v/>
      </c>
      <c r="I23" s="23" t="str">
        <f t="array" ref="I23">IF($A23="","",IFERROR(INDEX('Позиции'!$C$5:$C$204,MATCH('Процессы'!M23,'Позиции'!$A$5:$A$204,0)),"⚠ ID позиции"))</f>
        <v/>
      </c>
      <c r="J23" s="23" t="str">
        <f>IF($A23="","",COUNTIF('Действия'!$B$5:$B$304,$A23))</f>
        <v/>
      </c>
      <c r="K23" s="23" t="str">
        <f>IF($A23="","",COUNTIF('Переходы'!$B$5:$B$304,$A23))</f>
        <v/>
      </c>
      <c r="L23" s="23" t="str">
        <f>IF($A23="","",'Процессы'!O23)</f>
        <v/>
      </c>
      <c r="M23" s="23" t="str">
        <f>IF($A23="","",'Процессы'!P23)</f>
        <v/>
      </c>
      <c r="N23" s="23" t="str">
        <f>IF($A23="","",'Процессы'!Q23)</f>
        <v/>
      </c>
      <c r="O23" s="23" t="str">
        <f>IF($A23="","",'Процессы'!R23)</f>
        <v/>
      </c>
      <c r="P23" s="23" t="str">
        <f>IF($A23="","",'Процессы'!S23)</f>
        <v/>
      </c>
      <c r="Q23" s="23" t="str">
        <f>IF($A23="","",IF(COUNTA('Процессы'!B23,'Процессы'!E23,'Процессы'!F23,'Процессы'!H23,'Процессы'!I23,'Процессы'!J23,'Процессы'!M23,'Процессы'!O23,'Процессы'!P23,'Процессы'!R23,'Процессы'!S23)=11,"Готово","Есть пробелы"))</f>
        <v/>
      </c>
      <c r="R23" s="23" t="str">
        <f t="array" ref="R23">IF($A23="","",IFERROR(INDEX('Диаграммы'!$A$5:$A$104,MATCH($A23,'Диаграммы'!$B$5:$B$104,0)),"не настроена"))</f>
        <v/>
      </c>
      <c r="S23" s="23" t="str">
        <f t="array" ref="S23">IF(OR($A23="",$R23="не настроена"),"",IFERROR(INDEX('Диаграммы'!$M$5:$M$104,MATCH($R23,'Диаграммы'!$A$5:$A$104,0)),""))</f>
        <v/>
      </c>
      <c r="T23" s="23" t="str">
        <f t="array" ref="T23">IF(OR($A23="",$R23="не настроена"),"",IFERROR(HYPERLINK(INDEX('Диаграммы'!$O$5:$O$104,MATCH($R23,'Диаграммы'!$A$5:$A$104,0)),"открыть"),""))</f>
        <v/>
      </c>
    </row>
    <row r="24" ht="15.75" customHeight="1">
      <c r="A24" s="23" t="str">
        <f>IF('Процессы'!A24="","",'Процессы'!A24)</f>
        <v/>
      </c>
      <c r="B24" s="23" t="str">
        <f t="array" ref="B24">IF($A24="","",IFERROR(INDEX('Система'!$B$5:$B$14,MATCH('Процессы'!B24,'Система'!$A$5:$A$14,0)),"⚠ ID системы"))</f>
        <v/>
      </c>
      <c r="C24" s="23" t="str">
        <f>IF($A24="","",'Процессы'!C24)</f>
        <v/>
      </c>
      <c r="D24" s="23" t="str">
        <f>IF($A24="","",'Процессы'!E24)</f>
        <v/>
      </c>
      <c r="E24" s="23" t="str">
        <f>IF($A24="","",'Процессы'!F24)</f>
        <v/>
      </c>
      <c r="F24" s="23" t="str">
        <f>IF($A24="","",'Процессы'!H24)</f>
        <v/>
      </c>
      <c r="G24" s="23" t="str">
        <f>IF($A24="","",'Процессы'!I24)</f>
        <v/>
      </c>
      <c r="H24" s="23" t="str">
        <f>IF($A24="","",'Процессы'!J24)</f>
        <v/>
      </c>
      <c r="I24" s="23" t="str">
        <f t="array" ref="I24">IF($A24="","",IFERROR(INDEX('Позиции'!$C$5:$C$204,MATCH('Процессы'!M24,'Позиции'!$A$5:$A$204,0)),"⚠ ID позиции"))</f>
        <v/>
      </c>
      <c r="J24" s="23" t="str">
        <f>IF($A24="","",COUNTIF('Действия'!$B$5:$B$304,$A24))</f>
        <v/>
      </c>
      <c r="K24" s="23" t="str">
        <f>IF($A24="","",COUNTIF('Переходы'!$B$5:$B$304,$A24))</f>
        <v/>
      </c>
      <c r="L24" s="23" t="str">
        <f>IF($A24="","",'Процессы'!O24)</f>
        <v/>
      </c>
      <c r="M24" s="23" t="str">
        <f>IF($A24="","",'Процессы'!P24)</f>
        <v/>
      </c>
      <c r="N24" s="23" t="str">
        <f>IF($A24="","",'Процессы'!Q24)</f>
        <v/>
      </c>
      <c r="O24" s="23" t="str">
        <f>IF($A24="","",'Процессы'!R24)</f>
        <v/>
      </c>
      <c r="P24" s="23" t="str">
        <f>IF($A24="","",'Процессы'!S24)</f>
        <v/>
      </c>
      <c r="Q24" s="23" t="str">
        <f>IF($A24="","",IF(COUNTA('Процессы'!B24,'Процессы'!E24,'Процессы'!F24,'Процессы'!H24,'Процессы'!I24,'Процессы'!J24,'Процессы'!M24,'Процессы'!O24,'Процессы'!P24,'Процессы'!R24,'Процессы'!S24)=11,"Готово","Есть пробелы"))</f>
        <v/>
      </c>
      <c r="R24" s="23" t="str">
        <f t="array" ref="R24">IF($A24="","",IFERROR(INDEX('Диаграммы'!$A$5:$A$104,MATCH($A24,'Диаграммы'!$B$5:$B$104,0)),"не настроена"))</f>
        <v/>
      </c>
      <c r="S24" s="23" t="str">
        <f t="array" ref="S24">IF(OR($A24="",$R24="не настроена"),"",IFERROR(INDEX('Диаграммы'!$M$5:$M$104,MATCH($R24,'Диаграммы'!$A$5:$A$104,0)),""))</f>
        <v/>
      </c>
      <c r="T24" s="23" t="str">
        <f t="array" ref="T24">IF(OR($A24="",$R24="не настроена"),"",IFERROR(HYPERLINK(INDEX('Диаграммы'!$O$5:$O$104,MATCH($R24,'Диаграммы'!$A$5:$A$104,0)),"открыть"),""))</f>
        <v/>
      </c>
    </row>
    <row r="25" ht="15.75" customHeight="1">
      <c r="A25" s="23" t="str">
        <f>IF('Процессы'!A25="","",'Процессы'!A25)</f>
        <v/>
      </c>
      <c r="B25" s="23" t="str">
        <f t="array" ref="B25">IF($A25="","",IFERROR(INDEX('Система'!$B$5:$B$14,MATCH('Процессы'!B25,'Система'!$A$5:$A$14,0)),"⚠ ID системы"))</f>
        <v/>
      </c>
      <c r="C25" s="23" t="str">
        <f>IF($A25="","",'Процессы'!C25)</f>
        <v/>
      </c>
      <c r="D25" s="23" t="str">
        <f>IF($A25="","",'Процессы'!E25)</f>
        <v/>
      </c>
      <c r="E25" s="23" t="str">
        <f>IF($A25="","",'Процессы'!F25)</f>
        <v/>
      </c>
      <c r="F25" s="23" t="str">
        <f>IF($A25="","",'Процессы'!H25)</f>
        <v/>
      </c>
      <c r="G25" s="23" t="str">
        <f>IF($A25="","",'Процессы'!I25)</f>
        <v/>
      </c>
      <c r="H25" s="23" t="str">
        <f>IF($A25="","",'Процессы'!J25)</f>
        <v/>
      </c>
      <c r="I25" s="23" t="str">
        <f t="array" ref="I25">IF($A25="","",IFERROR(INDEX('Позиции'!$C$5:$C$204,MATCH('Процессы'!M25,'Позиции'!$A$5:$A$204,0)),"⚠ ID позиции"))</f>
        <v/>
      </c>
      <c r="J25" s="23" t="str">
        <f>IF($A25="","",COUNTIF('Действия'!$B$5:$B$304,$A25))</f>
        <v/>
      </c>
      <c r="K25" s="23" t="str">
        <f>IF($A25="","",COUNTIF('Переходы'!$B$5:$B$304,$A25))</f>
        <v/>
      </c>
      <c r="L25" s="23" t="str">
        <f>IF($A25="","",'Процессы'!O25)</f>
        <v/>
      </c>
      <c r="M25" s="23" t="str">
        <f>IF($A25="","",'Процессы'!P25)</f>
        <v/>
      </c>
      <c r="N25" s="23" t="str">
        <f>IF($A25="","",'Процессы'!Q25)</f>
        <v/>
      </c>
      <c r="O25" s="23" t="str">
        <f>IF($A25="","",'Процессы'!R25)</f>
        <v/>
      </c>
      <c r="P25" s="23" t="str">
        <f>IF($A25="","",'Процессы'!S25)</f>
        <v/>
      </c>
      <c r="Q25" s="23" t="str">
        <f>IF($A25="","",IF(COUNTA('Процессы'!B25,'Процессы'!E25,'Процессы'!F25,'Процессы'!H25,'Процессы'!I25,'Процессы'!J25,'Процессы'!M25,'Процессы'!O25,'Процессы'!P25,'Процессы'!R25,'Процессы'!S25)=11,"Готово","Есть пробелы"))</f>
        <v/>
      </c>
      <c r="R25" s="23" t="str">
        <f t="array" ref="R25">IF($A25="","",IFERROR(INDEX('Диаграммы'!$A$5:$A$104,MATCH($A25,'Диаграммы'!$B$5:$B$104,0)),"не настроена"))</f>
        <v/>
      </c>
      <c r="S25" s="23" t="str">
        <f t="array" ref="S25">IF(OR($A25="",$R25="не настроена"),"",IFERROR(INDEX('Диаграммы'!$M$5:$M$104,MATCH($R25,'Диаграммы'!$A$5:$A$104,0)),""))</f>
        <v/>
      </c>
      <c r="T25" s="23" t="str">
        <f t="array" ref="T25">IF(OR($A25="",$R25="не настроена"),"",IFERROR(HYPERLINK(INDEX('Диаграммы'!$O$5:$O$104,MATCH($R25,'Диаграммы'!$A$5:$A$104,0)),"открыть"),""))</f>
        <v/>
      </c>
    </row>
    <row r="26" ht="15.75" customHeight="1">
      <c r="A26" s="23" t="str">
        <f>IF('Процессы'!A26="","",'Процессы'!A26)</f>
        <v/>
      </c>
      <c r="B26" s="23" t="str">
        <f t="array" ref="B26">IF($A26="","",IFERROR(INDEX('Система'!$B$5:$B$14,MATCH('Процессы'!B26,'Система'!$A$5:$A$14,0)),"⚠ ID системы"))</f>
        <v/>
      </c>
      <c r="C26" s="23" t="str">
        <f>IF($A26="","",'Процессы'!C26)</f>
        <v/>
      </c>
      <c r="D26" s="23" t="str">
        <f>IF($A26="","",'Процессы'!E26)</f>
        <v/>
      </c>
      <c r="E26" s="23" t="str">
        <f>IF($A26="","",'Процессы'!F26)</f>
        <v/>
      </c>
      <c r="F26" s="23" t="str">
        <f>IF($A26="","",'Процессы'!H26)</f>
        <v/>
      </c>
      <c r="G26" s="23" t="str">
        <f>IF($A26="","",'Процессы'!I26)</f>
        <v/>
      </c>
      <c r="H26" s="23" t="str">
        <f>IF($A26="","",'Процессы'!J26)</f>
        <v/>
      </c>
      <c r="I26" s="23" t="str">
        <f t="array" ref="I26">IF($A26="","",IFERROR(INDEX('Позиции'!$C$5:$C$204,MATCH('Процессы'!M26,'Позиции'!$A$5:$A$204,0)),"⚠ ID позиции"))</f>
        <v/>
      </c>
      <c r="J26" s="23" t="str">
        <f>IF($A26="","",COUNTIF('Действия'!$B$5:$B$304,$A26))</f>
        <v/>
      </c>
      <c r="K26" s="23" t="str">
        <f>IF($A26="","",COUNTIF('Переходы'!$B$5:$B$304,$A26))</f>
        <v/>
      </c>
      <c r="L26" s="23" t="str">
        <f>IF($A26="","",'Процессы'!O26)</f>
        <v/>
      </c>
      <c r="M26" s="23" t="str">
        <f>IF($A26="","",'Процессы'!P26)</f>
        <v/>
      </c>
      <c r="N26" s="23" t="str">
        <f>IF($A26="","",'Процессы'!Q26)</f>
        <v/>
      </c>
      <c r="O26" s="23" t="str">
        <f>IF($A26="","",'Процессы'!R26)</f>
        <v/>
      </c>
      <c r="P26" s="23" t="str">
        <f>IF($A26="","",'Процессы'!S26)</f>
        <v/>
      </c>
      <c r="Q26" s="23" t="str">
        <f>IF($A26="","",IF(COUNTA('Процессы'!B26,'Процессы'!E26,'Процессы'!F26,'Процессы'!H26,'Процессы'!I26,'Процессы'!J26,'Процессы'!M26,'Процессы'!O26,'Процессы'!P26,'Процессы'!R26,'Процессы'!S26)=11,"Готово","Есть пробелы"))</f>
        <v/>
      </c>
      <c r="R26" s="23" t="str">
        <f t="array" ref="R26">IF($A26="","",IFERROR(INDEX('Диаграммы'!$A$5:$A$104,MATCH($A26,'Диаграммы'!$B$5:$B$104,0)),"не настроена"))</f>
        <v/>
      </c>
      <c r="S26" s="23" t="str">
        <f t="array" ref="S26">IF(OR($A26="",$R26="не настроена"),"",IFERROR(INDEX('Диаграммы'!$M$5:$M$104,MATCH($R26,'Диаграммы'!$A$5:$A$104,0)),""))</f>
        <v/>
      </c>
      <c r="T26" s="23" t="str">
        <f t="array" ref="T26">IF(OR($A26="",$R26="не настроена"),"",IFERROR(HYPERLINK(INDEX('Диаграммы'!$O$5:$O$104,MATCH($R26,'Диаграммы'!$A$5:$A$104,0)),"открыть"),""))</f>
        <v/>
      </c>
    </row>
    <row r="27" ht="15.75" customHeight="1">
      <c r="A27" s="23" t="str">
        <f>IF('Процессы'!A27="","",'Процессы'!A27)</f>
        <v/>
      </c>
      <c r="B27" s="23" t="str">
        <f t="array" ref="B27">IF($A27="","",IFERROR(INDEX('Система'!$B$5:$B$14,MATCH('Процессы'!B27,'Система'!$A$5:$A$14,0)),"⚠ ID системы"))</f>
        <v/>
      </c>
      <c r="C27" s="23" t="str">
        <f>IF($A27="","",'Процессы'!C27)</f>
        <v/>
      </c>
      <c r="D27" s="23" t="str">
        <f>IF($A27="","",'Процессы'!E27)</f>
        <v/>
      </c>
      <c r="E27" s="23" t="str">
        <f>IF($A27="","",'Процессы'!F27)</f>
        <v/>
      </c>
      <c r="F27" s="23" t="str">
        <f>IF($A27="","",'Процессы'!H27)</f>
        <v/>
      </c>
      <c r="G27" s="23" t="str">
        <f>IF($A27="","",'Процессы'!I27)</f>
        <v/>
      </c>
      <c r="H27" s="23" t="str">
        <f>IF($A27="","",'Процессы'!J27)</f>
        <v/>
      </c>
      <c r="I27" s="23" t="str">
        <f t="array" ref="I27">IF($A27="","",IFERROR(INDEX('Позиции'!$C$5:$C$204,MATCH('Процессы'!M27,'Позиции'!$A$5:$A$204,0)),"⚠ ID позиции"))</f>
        <v/>
      </c>
      <c r="J27" s="23" t="str">
        <f>IF($A27="","",COUNTIF('Действия'!$B$5:$B$304,$A27))</f>
        <v/>
      </c>
      <c r="K27" s="23" t="str">
        <f>IF($A27="","",COUNTIF('Переходы'!$B$5:$B$304,$A27))</f>
        <v/>
      </c>
      <c r="L27" s="23" t="str">
        <f>IF($A27="","",'Процессы'!O27)</f>
        <v/>
      </c>
      <c r="M27" s="23" t="str">
        <f>IF($A27="","",'Процессы'!P27)</f>
        <v/>
      </c>
      <c r="N27" s="23" t="str">
        <f>IF($A27="","",'Процессы'!Q27)</f>
        <v/>
      </c>
      <c r="O27" s="23" t="str">
        <f>IF($A27="","",'Процессы'!R27)</f>
        <v/>
      </c>
      <c r="P27" s="23" t="str">
        <f>IF($A27="","",'Процессы'!S27)</f>
        <v/>
      </c>
      <c r="Q27" s="23" t="str">
        <f>IF($A27="","",IF(COUNTA('Процессы'!B27,'Процессы'!E27,'Процессы'!F27,'Процессы'!H27,'Процессы'!I27,'Процессы'!J27,'Процессы'!M27,'Процессы'!O27,'Процессы'!P27,'Процессы'!R27,'Процессы'!S27)=11,"Готово","Есть пробелы"))</f>
        <v/>
      </c>
      <c r="R27" s="23" t="str">
        <f t="array" ref="R27">IF($A27="","",IFERROR(INDEX('Диаграммы'!$A$5:$A$104,MATCH($A27,'Диаграммы'!$B$5:$B$104,0)),"не настроена"))</f>
        <v/>
      </c>
      <c r="S27" s="23" t="str">
        <f t="array" ref="S27">IF(OR($A27="",$R27="не настроена"),"",IFERROR(INDEX('Диаграммы'!$M$5:$M$104,MATCH($R27,'Диаграммы'!$A$5:$A$104,0)),""))</f>
        <v/>
      </c>
      <c r="T27" s="23" t="str">
        <f t="array" ref="T27">IF(OR($A27="",$R27="не настроена"),"",IFERROR(HYPERLINK(INDEX('Диаграммы'!$O$5:$O$104,MATCH($R27,'Диаграммы'!$A$5:$A$104,0)),"открыть"),""))</f>
        <v/>
      </c>
    </row>
    <row r="28" ht="15.75" customHeight="1">
      <c r="A28" s="23" t="str">
        <f>IF('Процессы'!A28="","",'Процессы'!A28)</f>
        <v/>
      </c>
      <c r="B28" s="23" t="str">
        <f t="array" ref="B28">IF($A28="","",IFERROR(INDEX('Система'!$B$5:$B$14,MATCH('Процессы'!B28,'Система'!$A$5:$A$14,0)),"⚠ ID системы"))</f>
        <v/>
      </c>
      <c r="C28" s="23" t="str">
        <f>IF($A28="","",'Процессы'!C28)</f>
        <v/>
      </c>
      <c r="D28" s="23" t="str">
        <f>IF($A28="","",'Процессы'!E28)</f>
        <v/>
      </c>
      <c r="E28" s="23" t="str">
        <f>IF($A28="","",'Процессы'!F28)</f>
        <v/>
      </c>
      <c r="F28" s="23" t="str">
        <f>IF($A28="","",'Процессы'!H28)</f>
        <v/>
      </c>
      <c r="G28" s="23" t="str">
        <f>IF($A28="","",'Процессы'!I28)</f>
        <v/>
      </c>
      <c r="H28" s="23" t="str">
        <f>IF($A28="","",'Процессы'!J28)</f>
        <v/>
      </c>
      <c r="I28" s="23" t="str">
        <f t="array" ref="I28">IF($A28="","",IFERROR(INDEX('Позиции'!$C$5:$C$204,MATCH('Процессы'!M28,'Позиции'!$A$5:$A$204,0)),"⚠ ID позиции"))</f>
        <v/>
      </c>
      <c r="J28" s="23" t="str">
        <f>IF($A28="","",COUNTIF('Действия'!$B$5:$B$304,$A28))</f>
        <v/>
      </c>
      <c r="K28" s="23" t="str">
        <f>IF($A28="","",COUNTIF('Переходы'!$B$5:$B$304,$A28))</f>
        <v/>
      </c>
      <c r="L28" s="23" t="str">
        <f>IF($A28="","",'Процессы'!O28)</f>
        <v/>
      </c>
      <c r="M28" s="23" t="str">
        <f>IF($A28="","",'Процессы'!P28)</f>
        <v/>
      </c>
      <c r="N28" s="23" t="str">
        <f>IF($A28="","",'Процессы'!Q28)</f>
        <v/>
      </c>
      <c r="O28" s="23" t="str">
        <f>IF($A28="","",'Процессы'!R28)</f>
        <v/>
      </c>
      <c r="P28" s="23" t="str">
        <f>IF($A28="","",'Процессы'!S28)</f>
        <v/>
      </c>
      <c r="Q28" s="23" t="str">
        <f>IF($A28="","",IF(COUNTA('Процессы'!B28,'Процессы'!E28,'Процессы'!F28,'Процессы'!H28,'Процессы'!I28,'Процессы'!J28,'Процессы'!M28,'Процессы'!O28,'Процессы'!P28,'Процессы'!R28,'Процессы'!S28)=11,"Готово","Есть пробелы"))</f>
        <v/>
      </c>
      <c r="R28" s="23" t="str">
        <f t="array" ref="R28">IF($A28="","",IFERROR(INDEX('Диаграммы'!$A$5:$A$104,MATCH($A28,'Диаграммы'!$B$5:$B$104,0)),"не настроена"))</f>
        <v/>
      </c>
      <c r="S28" s="23" t="str">
        <f t="array" ref="S28">IF(OR($A28="",$R28="не настроена"),"",IFERROR(INDEX('Диаграммы'!$M$5:$M$104,MATCH($R28,'Диаграммы'!$A$5:$A$104,0)),""))</f>
        <v/>
      </c>
      <c r="T28" s="23" t="str">
        <f t="array" ref="T28">IF(OR($A28="",$R28="не настроена"),"",IFERROR(HYPERLINK(INDEX('Диаграммы'!$O$5:$O$104,MATCH($R28,'Диаграммы'!$A$5:$A$104,0)),"открыть"),""))</f>
        <v/>
      </c>
    </row>
    <row r="29" ht="15.75" customHeight="1">
      <c r="A29" s="23" t="str">
        <f>IF('Процессы'!A29="","",'Процессы'!A29)</f>
        <v/>
      </c>
      <c r="B29" s="23" t="str">
        <f t="array" ref="B29">IF($A29="","",IFERROR(INDEX('Система'!$B$5:$B$14,MATCH('Процессы'!B29,'Система'!$A$5:$A$14,0)),"⚠ ID системы"))</f>
        <v/>
      </c>
      <c r="C29" s="23" t="str">
        <f>IF($A29="","",'Процессы'!C29)</f>
        <v/>
      </c>
      <c r="D29" s="23" t="str">
        <f>IF($A29="","",'Процессы'!E29)</f>
        <v/>
      </c>
      <c r="E29" s="23" t="str">
        <f>IF($A29="","",'Процессы'!F29)</f>
        <v/>
      </c>
      <c r="F29" s="23" t="str">
        <f>IF($A29="","",'Процессы'!H29)</f>
        <v/>
      </c>
      <c r="G29" s="23" t="str">
        <f>IF($A29="","",'Процессы'!I29)</f>
        <v/>
      </c>
      <c r="H29" s="23" t="str">
        <f>IF($A29="","",'Процессы'!J29)</f>
        <v/>
      </c>
      <c r="I29" s="23" t="str">
        <f t="array" ref="I29">IF($A29="","",IFERROR(INDEX('Позиции'!$C$5:$C$204,MATCH('Процессы'!M29,'Позиции'!$A$5:$A$204,0)),"⚠ ID позиции"))</f>
        <v/>
      </c>
      <c r="J29" s="23" t="str">
        <f>IF($A29="","",COUNTIF('Действия'!$B$5:$B$304,$A29))</f>
        <v/>
      </c>
      <c r="K29" s="23" t="str">
        <f>IF($A29="","",COUNTIF('Переходы'!$B$5:$B$304,$A29))</f>
        <v/>
      </c>
      <c r="L29" s="23" t="str">
        <f>IF($A29="","",'Процессы'!O29)</f>
        <v/>
      </c>
      <c r="M29" s="23" t="str">
        <f>IF($A29="","",'Процессы'!P29)</f>
        <v/>
      </c>
      <c r="N29" s="23" t="str">
        <f>IF($A29="","",'Процессы'!Q29)</f>
        <v/>
      </c>
      <c r="O29" s="23" t="str">
        <f>IF($A29="","",'Процессы'!R29)</f>
        <v/>
      </c>
      <c r="P29" s="23" t="str">
        <f>IF($A29="","",'Процессы'!S29)</f>
        <v/>
      </c>
      <c r="Q29" s="23" t="str">
        <f>IF($A29="","",IF(COUNTA('Процессы'!B29,'Процессы'!E29,'Процессы'!F29,'Процессы'!H29,'Процессы'!I29,'Процессы'!J29,'Процессы'!M29,'Процессы'!O29,'Процессы'!P29,'Процессы'!R29,'Процессы'!S29)=11,"Готово","Есть пробелы"))</f>
        <v/>
      </c>
      <c r="R29" s="23" t="str">
        <f t="array" ref="R29">IF($A29="","",IFERROR(INDEX('Диаграммы'!$A$5:$A$104,MATCH($A29,'Диаграммы'!$B$5:$B$104,0)),"не настроена"))</f>
        <v/>
      </c>
      <c r="S29" s="23" t="str">
        <f t="array" ref="S29">IF(OR($A29="",$R29="не настроена"),"",IFERROR(INDEX('Диаграммы'!$M$5:$M$104,MATCH($R29,'Диаграммы'!$A$5:$A$104,0)),""))</f>
        <v/>
      </c>
      <c r="T29" s="23" t="str">
        <f t="array" ref="T29">IF(OR($A29="",$R29="не настроена"),"",IFERROR(HYPERLINK(INDEX('Диаграммы'!$O$5:$O$104,MATCH($R29,'Диаграммы'!$A$5:$A$104,0)),"открыть"),""))</f>
        <v/>
      </c>
    </row>
    <row r="30" ht="15.75" customHeight="1">
      <c r="A30" s="23" t="str">
        <f>IF('Процессы'!A30="","",'Процессы'!A30)</f>
        <v/>
      </c>
      <c r="B30" s="23" t="str">
        <f t="array" ref="B30">IF($A30="","",IFERROR(INDEX('Система'!$B$5:$B$14,MATCH('Процессы'!B30,'Система'!$A$5:$A$14,0)),"⚠ ID системы"))</f>
        <v/>
      </c>
      <c r="C30" s="23" t="str">
        <f>IF($A30="","",'Процессы'!C30)</f>
        <v/>
      </c>
      <c r="D30" s="23" t="str">
        <f>IF($A30="","",'Процессы'!E30)</f>
        <v/>
      </c>
      <c r="E30" s="23" t="str">
        <f>IF($A30="","",'Процессы'!F30)</f>
        <v/>
      </c>
      <c r="F30" s="23" t="str">
        <f>IF($A30="","",'Процессы'!H30)</f>
        <v/>
      </c>
      <c r="G30" s="23" t="str">
        <f>IF($A30="","",'Процессы'!I30)</f>
        <v/>
      </c>
      <c r="H30" s="23" t="str">
        <f>IF($A30="","",'Процессы'!J30)</f>
        <v/>
      </c>
      <c r="I30" s="23" t="str">
        <f t="array" ref="I30">IF($A30="","",IFERROR(INDEX('Позиции'!$C$5:$C$204,MATCH('Процессы'!M30,'Позиции'!$A$5:$A$204,0)),"⚠ ID позиции"))</f>
        <v/>
      </c>
      <c r="J30" s="23" t="str">
        <f>IF($A30="","",COUNTIF('Действия'!$B$5:$B$304,$A30))</f>
        <v/>
      </c>
      <c r="K30" s="23" t="str">
        <f>IF($A30="","",COUNTIF('Переходы'!$B$5:$B$304,$A30))</f>
        <v/>
      </c>
      <c r="L30" s="23" t="str">
        <f>IF($A30="","",'Процессы'!O30)</f>
        <v/>
      </c>
      <c r="M30" s="23" t="str">
        <f>IF($A30="","",'Процессы'!P30)</f>
        <v/>
      </c>
      <c r="N30" s="23" t="str">
        <f>IF($A30="","",'Процессы'!Q30)</f>
        <v/>
      </c>
      <c r="O30" s="23" t="str">
        <f>IF($A30="","",'Процессы'!R30)</f>
        <v/>
      </c>
      <c r="P30" s="23" t="str">
        <f>IF($A30="","",'Процессы'!S30)</f>
        <v/>
      </c>
      <c r="Q30" s="23" t="str">
        <f>IF($A30="","",IF(COUNTA('Процессы'!B30,'Процессы'!E30,'Процессы'!F30,'Процессы'!H30,'Процессы'!I30,'Процессы'!J30,'Процессы'!M30,'Процессы'!O30,'Процессы'!P30,'Процессы'!R30,'Процессы'!S30)=11,"Готово","Есть пробелы"))</f>
        <v/>
      </c>
      <c r="R30" s="23" t="str">
        <f t="array" ref="R30">IF($A30="","",IFERROR(INDEX('Диаграммы'!$A$5:$A$104,MATCH($A30,'Диаграммы'!$B$5:$B$104,0)),"не настроена"))</f>
        <v/>
      </c>
      <c r="S30" s="23" t="str">
        <f t="array" ref="S30">IF(OR($A30="",$R30="не настроена"),"",IFERROR(INDEX('Диаграммы'!$M$5:$M$104,MATCH($R30,'Диаграммы'!$A$5:$A$104,0)),""))</f>
        <v/>
      </c>
      <c r="T30" s="23" t="str">
        <f t="array" ref="T30">IF(OR($A30="",$R30="не настроена"),"",IFERROR(HYPERLINK(INDEX('Диаграммы'!$O$5:$O$104,MATCH($R30,'Диаграммы'!$A$5:$A$104,0)),"открыть"),""))</f>
        <v/>
      </c>
    </row>
    <row r="31" ht="15.75" customHeight="1">
      <c r="A31" s="23" t="str">
        <f>IF('Процессы'!A31="","",'Процессы'!A31)</f>
        <v/>
      </c>
      <c r="B31" s="23" t="str">
        <f t="array" ref="B31">IF($A31="","",IFERROR(INDEX('Система'!$B$5:$B$14,MATCH('Процессы'!B31,'Система'!$A$5:$A$14,0)),"⚠ ID системы"))</f>
        <v/>
      </c>
      <c r="C31" s="23" t="str">
        <f>IF($A31="","",'Процессы'!C31)</f>
        <v/>
      </c>
      <c r="D31" s="23" t="str">
        <f>IF($A31="","",'Процессы'!E31)</f>
        <v/>
      </c>
      <c r="E31" s="23" t="str">
        <f>IF($A31="","",'Процессы'!F31)</f>
        <v/>
      </c>
      <c r="F31" s="23" t="str">
        <f>IF($A31="","",'Процессы'!H31)</f>
        <v/>
      </c>
      <c r="G31" s="23" t="str">
        <f>IF($A31="","",'Процессы'!I31)</f>
        <v/>
      </c>
      <c r="H31" s="23" t="str">
        <f>IF($A31="","",'Процессы'!J31)</f>
        <v/>
      </c>
      <c r="I31" s="23" t="str">
        <f t="array" ref="I31">IF($A31="","",IFERROR(INDEX('Позиции'!$C$5:$C$204,MATCH('Процессы'!M31,'Позиции'!$A$5:$A$204,0)),"⚠ ID позиции"))</f>
        <v/>
      </c>
      <c r="J31" s="23" t="str">
        <f>IF($A31="","",COUNTIF('Действия'!$B$5:$B$304,$A31))</f>
        <v/>
      </c>
      <c r="K31" s="23" t="str">
        <f>IF($A31="","",COUNTIF('Переходы'!$B$5:$B$304,$A31))</f>
        <v/>
      </c>
      <c r="L31" s="23" t="str">
        <f>IF($A31="","",'Процессы'!O31)</f>
        <v/>
      </c>
      <c r="M31" s="23" t="str">
        <f>IF($A31="","",'Процессы'!P31)</f>
        <v/>
      </c>
      <c r="N31" s="23" t="str">
        <f>IF($A31="","",'Процессы'!Q31)</f>
        <v/>
      </c>
      <c r="O31" s="23" t="str">
        <f>IF($A31="","",'Процессы'!R31)</f>
        <v/>
      </c>
      <c r="P31" s="23" t="str">
        <f>IF($A31="","",'Процессы'!S31)</f>
        <v/>
      </c>
      <c r="Q31" s="23" t="str">
        <f>IF($A31="","",IF(COUNTA('Процессы'!B31,'Процессы'!E31,'Процессы'!F31,'Процессы'!H31,'Процессы'!I31,'Процессы'!J31,'Процессы'!M31,'Процессы'!O31,'Процессы'!P31,'Процессы'!R31,'Процессы'!S31)=11,"Готово","Есть пробелы"))</f>
        <v/>
      </c>
      <c r="R31" s="23" t="str">
        <f t="array" ref="R31">IF($A31="","",IFERROR(INDEX('Диаграммы'!$A$5:$A$104,MATCH($A31,'Диаграммы'!$B$5:$B$104,0)),"не настроена"))</f>
        <v/>
      </c>
      <c r="S31" s="23" t="str">
        <f t="array" ref="S31">IF(OR($A31="",$R31="не настроена"),"",IFERROR(INDEX('Диаграммы'!$M$5:$M$104,MATCH($R31,'Диаграммы'!$A$5:$A$104,0)),""))</f>
        <v/>
      </c>
      <c r="T31" s="23" t="str">
        <f t="array" ref="T31">IF(OR($A31="",$R31="не настроена"),"",IFERROR(HYPERLINK(INDEX('Диаграммы'!$O$5:$O$104,MATCH($R31,'Диаграммы'!$A$5:$A$104,0)),"открыть"),""))</f>
        <v/>
      </c>
    </row>
    <row r="32" ht="15.75" customHeight="1">
      <c r="A32" s="23" t="str">
        <f>IF('Процессы'!A32="","",'Процессы'!A32)</f>
        <v/>
      </c>
      <c r="B32" s="23" t="str">
        <f t="array" ref="B32">IF($A32="","",IFERROR(INDEX('Система'!$B$5:$B$14,MATCH('Процессы'!B32,'Система'!$A$5:$A$14,0)),"⚠ ID системы"))</f>
        <v/>
      </c>
      <c r="C32" s="23" t="str">
        <f>IF($A32="","",'Процессы'!C32)</f>
        <v/>
      </c>
      <c r="D32" s="23" t="str">
        <f>IF($A32="","",'Процессы'!E32)</f>
        <v/>
      </c>
      <c r="E32" s="23" t="str">
        <f>IF($A32="","",'Процессы'!F32)</f>
        <v/>
      </c>
      <c r="F32" s="23" t="str">
        <f>IF($A32="","",'Процессы'!H32)</f>
        <v/>
      </c>
      <c r="G32" s="23" t="str">
        <f>IF($A32="","",'Процессы'!I32)</f>
        <v/>
      </c>
      <c r="H32" s="23" t="str">
        <f>IF($A32="","",'Процессы'!J32)</f>
        <v/>
      </c>
      <c r="I32" s="23" t="str">
        <f t="array" ref="I32">IF($A32="","",IFERROR(INDEX('Позиции'!$C$5:$C$204,MATCH('Процессы'!M32,'Позиции'!$A$5:$A$204,0)),"⚠ ID позиции"))</f>
        <v/>
      </c>
      <c r="J32" s="23" t="str">
        <f>IF($A32="","",COUNTIF('Действия'!$B$5:$B$304,$A32))</f>
        <v/>
      </c>
      <c r="K32" s="23" t="str">
        <f>IF($A32="","",COUNTIF('Переходы'!$B$5:$B$304,$A32))</f>
        <v/>
      </c>
      <c r="L32" s="23" t="str">
        <f>IF($A32="","",'Процессы'!O32)</f>
        <v/>
      </c>
      <c r="M32" s="23" t="str">
        <f>IF($A32="","",'Процессы'!P32)</f>
        <v/>
      </c>
      <c r="N32" s="23" t="str">
        <f>IF($A32="","",'Процессы'!Q32)</f>
        <v/>
      </c>
      <c r="O32" s="23" t="str">
        <f>IF($A32="","",'Процессы'!R32)</f>
        <v/>
      </c>
      <c r="P32" s="23" t="str">
        <f>IF($A32="","",'Процессы'!S32)</f>
        <v/>
      </c>
      <c r="Q32" s="23" t="str">
        <f>IF($A32="","",IF(COUNTA('Процессы'!B32,'Процессы'!E32,'Процессы'!F32,'Процессы'!H32,'Процессы'!I32,'Процессы'!J32,'Процессы'!M32,'Процессы'!O32,'Процессы'!P32,'Процессы'!R32,'Процессы'!S32)=11,"Готово","Есть пробелы"))</f>
        <v/>
      </c>
      <c r="R32" s="23" t="str">
        <f t="array" ref="R32">IF($A32="","",IFERROR(INDEX('Диаграммы'!$A$5:$A$104,MATCH($A32,'Диаграммы'!$B$5:$B$104,0)),"не настроена"))</f>
        <v/>
      </c>
      <c r="S32" s="23" t="str">
        <f t="array" ref="S32">IF(OR($A32="",$R32="не настроена"),"",IFERROR(INDEX('Диаграммы'!$M$5:$M$104,MATCH($R32,'Диаграммы'!$A$5:$A$104,0)),""))</f>
        <v/>
      </c>
      <c r="T32" s="23" t="str">
        <f t="array" ref="T32">IF(OR($A32="",$R32="не настроена"),"",IFERROR(HYPERLINK(INDEX('Диаграммы'!$O$5:$O$104,MATCH($R32,'Диаграммы'!$A$5:$A$104,0)),"открыть"),""))</f>
        <v/>
      </c>
    </row>
    <row r="33" ht="15.75" customHeight="1">
      <c r="A33" s="23" t="str">
        <f>IF('Процессы'!A33="","",'Процессы'!A33)</f>
        <v/>
      </c>
      <c r="B33" s="23" t="str">
        <f t="array" ref="B33">IF($A33="","",IFERROR(INDEX('Система'!$B$5:$B$14,MATCH('Процессы'!B33,'Система'!$A$5:$A$14,0)),"⚠ ID системы"))</f>
        <v/>
      </c>
      <c r="C33" s="23" t="str">
        <f>IF($A33="","",'Процессы'!C33)</f>
        <v/>
      </c>
      <c r="D33" s="23" t="str">
        <f>IF($A33="","",'Процессы'!E33)</f>
        <v/>
      </c>
      <c r="E33" s="23" t="str">
        <f>IF($A33="","",'Процессы'!F33)</f>
        <v/>
      </c>
      <c r="F33" s="23" t="str">
        <f>IF($A33="","",'Процессы'!H33)</f>
        <v/>
      </c>
      <c r="G33" s="23" t="str">
        <f>IF($A33="","",'Процессы'!I33)</f>
        <v/>
      </c>
      <c r="H33" s="23" t="str">
        <f>IF($A33="","",'Процессы'!J33)</f>
        <v/>
      </c>
      <c r="I33" s="23" t="str">
        <f t="array" ref="I33">IF($A33="","",IFERROR(INDEX('Позиции'!$C$5:$C$204,MATCH('Процессы'!M33,'Позиции'!$A$5:$A$204,0)),"⚠ ID позиции"))</f>
        <v/>
      </c>
      <c r="J33" s="23" t="str">
        <f>IF($A33="","",COUNTIF('Действия'!$B$5:$B$304,$A33))</f>
        <v/>
      </c>
      <c r="K33" s="23" t="str">
        <f>IF($A33="","",COUNTIF('Переходы'!$B$5:$B$304,$A33))</f>
        <v/>
      </c>
      <c r="L33" s="23" t="str">
        <f>IF($A33="","",'Процессы'!O33)</f>
        <v/>
      </c>
      <c r="M33" s="23" t="str">
        <f>IF($A33="","",'Процессы'!P33)</f>
        <v/>
      </c>
      <c r="N33" s="23" t="str">
        <f>IF($A33="","",'Процессы'!Q33)</f>
        <v/>
      </c>
      <c r="O33" s="23" t="str">
        <f>IF($A33="","",'Процессы'!R33)</f>
        <v/>
      </c>
      <c r="P33" s="23" t="str">
        <f>IF($A33="","",'Процессы'!S33)</f>
        <v/>
      </c>
      <c r="Q33" s="23" t="str">
        <f>IF($A33="","",IF(COUNTA('Процессы'!B33,'Процессы'!E33,'Процессы'!F33,'Процессы'!H33,'Процессы'!I33,'Процессы'!J33,'Процессы'!M33,'Процессы'!O33,'Процессы'!P33,'Процессы'!R33,'Процессы'!S33)=11,"Готово","Есть пробелы"))</f>
        <v/>
      </c>
      <c r="R33" s="23" t="str">
        <f t="array" ref="R33">IF($A33="","",IFERROR(INDEX('Диаграммы'!$A$5:$A$104,MATCH($A33,'Диаграммы'!$B$5:$B$104,0)),"не настроена"))</f>
        <v/>
      </c>
      <c r="S33" s="23" t="str">
        <f t="array" ref="S33">IF(OR($A33="",$R33="не настроена"),"",IFERROR(INDEX('Диаграммы'!$M$5:$M$104,MATCH($R33,'Диаграммы'!$A$5:$A$104,0)),""))</f>
        <v/>
      </c>
      <c r="T33" s="23" t="str">
        <f t="array" ref="T33">IF(OR($A33="",$R33="не настроена"),"",IFERROR(HYPERLINK(INDEX('Диаграммы'!$O$5:$O$104,MATCH($R33,'Диаграммы'!$A$5:$A$104,0)),"открыть"),""))</f>
        <v/>
      </c>
    </row>
    <row r="34" ht="15.75" customHeight="1">
      <c r="A34" s="23" t="str">
        <f>IF('Процессы'!A34="","",'Процессы'!A34)</f>
        <v/>
      </c>
      <c r="B34" s="23" t="str">
        <f t="array" ref="B34">IF($A34="","",IFERROR(INDEX('Система'!$B$5:$B$14,MATCH('Процессы'!B34,'Система'!$A$5:$A$14,0)),"⚠ ID системы"))</f>
        <v/>
      </c>
      <c r="C34" s="23" t="str">
        <f>IF($A34="","",'Процессы'!C34)</f>
        <v/>
      </c>
      <c r="D34" s="23" t="str">
        <f>IF($A34="","",'Процессы'!E34)</f>
        <v/>
      </c>
      <c r="E34" s="23" t="str">
        <f>IF($A34="","",'Процессы'!F34)</f>
        <v/>
      </c>
      <c r="F34" s="23" t="str">
        <f>IF($A34="","",'Процессы'!H34)</f>
        <v/>
      </c>
      <c r="G34" s="23" t="str">
        <f>IF($A34="","",'Процессы'!I34)</f>
        <v/>
      </c>
      <c r="H34" s="23" t="str">
        <f>IF($A34="","",'Процессы'!J34)</f>
        <v/>
      </c>
      <c r="I34" s="23" t="str">
        <f t="array" ref="I34">IF($A34="","",IFERROR(INDEX('Позиции'!$C$5:$C$204,MATCH('Процессы'!M34,'Позиции'!$A$5:$A$204,0)),"⚠ ID позиции"))</f>
        <v/>
      </c>
      <c r="J34" s="23" t="str">
        <f>IF($A34="","",COUNTIF('Действия'!$B$5:$B$304,$A34))</f>
        <v/>
      </c>
      <c r="K34" s="23" t="str">
        <f>IF($A34="","",COUNTIF('Переходы'!$B$5:$B$304,$A34))</f>
        <v/>
      </c>
      <c r="L34" s="23" t="str">
        <f>IF($A34="","",'Процессы'!O34)</f>
        <v/>
      </c>
      <c r="M34" s="23" t="str">
        <f>IF($A34="","",'Процессы'!P34)</f>
        <v/>
      </c>
      <c r="N34" s="23" t="str">
        <f>IF($A34="","",'Процессы'!Q34)</f>
        <v/>
      </c>
      <c r="O34" s="23" t="str">
        <f>IF($A34="","",'Процессы'!R34)</f>
        <v/>
      </c>
      <c r="P34" s="23" t="str">
        <f>IF($A34="","",'Процессы'!S34)</f>
        <v/>
      </c>
      <c r="Q34" s="23" t="str">
        <f>IF($A34="","",IF(COUNTA('Процессы'!B34,'Процессы'!E34,'Процессы'!F34,'Процессы'!H34,'Процессы'!I34,'Процессы'!J34,'Процессы'!M34,'Процессы'!O34,'Процессы'!P34,'Процессы'!R34,'Процессы'!S34)=11,"Готово","Есть пробелы"))</f>
        <v/>
      </c>
      <c r="R34" s="23" t="str">
        <f t="array" ref="R34">IF($A34="","",IFERROR(INDEX('Диаграммы'!$A$5:$A$104,MATCH($A34,'Диаграммы'!$B$5:$B$104,0)),"не настроена"))</f>
        <v/>
      </c>
      <c r="S34" s="23" t="str">
        <f t="array" ref="S34">IF(OR($A34="",$R34="не настроена"),"",IFERROR(INDEX('Диаграммы'!$M$5:$M$104,MATCH($R34,'Диаграммы'!$A$5:$A$104,0)),""))</f>
        <v/>
      </c>
      <c r="T34" s="23" t="str">
        <f t="array" ref="T34">IF(OR($A34="",$R34="не настроена"),"",IFERROR(HYPERLINK(INDEX('Диаграммы'!$O$5:$O$104,MATCH($R34,'Диаграммы'!$A$5:$A$104,0)),"открыть"),""))</f>
        <v/>
      </c>
    </row>
    <row r="35" ht="15.75" customHeight="1">
      <c r="A35" s="23" t="str">
        <f>IF('Процессы'!A35="","",'Процессы'!A35)</f>
        <v/>
      </c>
      <c r="B35" s="23" t="str">
        <f t="array" ref="B35">IF($A35="","",IFERROR(INDEX('Система'!$B$5:$B$14,MATCH('Процессы'!B35,'Система'!$A$5:$A$14,0)),"⚠ ID системы"))</f>
        <v/>
      </c>
      <c r="C35" s="23" t="str">
        <f>IF($A35="","",'Процессы'!C35)</f>
        <v/>
      </c>
      <c r="D35" s="23" t="str">
        <f>IF($A35="","",'Процессы'!E35)</f>
        <v/>
      </c>
      <c r="E35" s="23" t="str">
        <f>IF($A35="","",'Процессы'!F35)</f>
        <v/>
      </c>
      <c r="F35" s="23" t="str">
        <f>IF($A35="","",'Процессы'!H35)</f>
        <v/>
      </c>
      <c r="G35" s="23" t="str">
        <f>IF($A35="","",'Процессы'!I35)</f>
        <v/>
      </c>
      <c r="H35" s="23" t="str">
        <f>IF($A35="","",'Процессы'!J35)</f>
        <v/>
      </c>
      <c r="I35" s="23" t="str">
        <f t="array" ref="I35">IF($A35="","",IFERROR(INDEX('Позиции'!$C$5:$C$204,MATCH('Процессы'!M35,'Позиции'!$A$5:$A$204,0)),"⚠ ID позиции"))</f>
        <v/>
      </c>
      <c r="J35" s="23" t="str">
        <f>IF($A35="","",COUNTIF('Действия'!$B$5:$B$304,$A35))</f>
        <v/>
      </c>
      <c r="K35" s="23" t="str">
        <f>IF($A35="","",COUNTIF('Переходы'!$B$5:$B$304,$A35))</f>
        <v/>
      </c>
      <c r="L35" s="23" t="str">
        <f>IF($A35="","",'Процессы'!O35)</f>
        <v/>
      </c>
      <c r="M35" s="23" t="str">
        <f>IF($A35="","",'Процессы'!P35)</f>
        <v/>
      </c>
      <c r="N35" s="23" t="str">
        <f>IF($A35="","",'Процессы'!Q35)</f>
        <v/>
      </c>
      <c r="O35" s="23" t="str">
        <f>IF($A35="","",'Процессы'!R35)</f>
        <v/>
      </c>
      <c r="P35" s="23" t="str">
        <f>IF($A35="","",'Процессы'!S35)</f>
        <v/>
      </c>
      <c r="Q35" s="23" t="str">
        <f>IF($A35="","",IF(COUNTA('Процессы'!B35,'Процессы'!E35,'Процессы'!F35,'Процессы'!H35,'Процессы'!I35,'Процессы'!J35,'Процессы'!M35,'Процессы'!O35,'Процессы'!P35,'Процессы'!R35,'Процессы'!S35)=11,"Готово","Есть пробелы"))</f>
        <v/>
      </c>
      <c r="R35" s="23" t="str">
        <f t="array" ref="R35">IF($A35="","",IFERROR(INDEX('Диаграммы'!$A$5:$A$104,MATCH($A35,'Диаграммы'!$B$5:$B$104,0)),"не настроена"))</f>
        <v/>
      </c>
      <c r="S35" s="23" t="str">
        <f t="array" ref="S35">IF(OR($A35="",$R35="не настроена"),"",IFERROR(INDEX('Диаграммы'!$M$5:$M$104,MATCH($R35,'Диаграммы'!$A$5:$A$104,0)),""))</f>
        <v/>
      </c>
      <c r="T35" s="23" t="str">
        <f t="array" ref="T35">IF(OR($A35="",$R35="не настроена"),"",IFERROR(HYPERLINK(INDEX('Диаграммы'!$O$5:$O$104,MATCH($R35,'Диаграммы'!$A$5:$A$104,0)),"открыть"),""))</f>
        <v/>
      </c>
    </row>
    <row r="36" ht="15.75" customHeight="1">
      <c r="A36" s="23" t="str">
        <f>IF('Процессы'!A36="","",'Процессы'!A36)</f>
        <v/>
      </c>
      <c r="B36" s="23" t="str">
        <f t="array" ref="B36">IF($A36="","",IFERROR(INDEX('Система'!$B$5:$B$14,MATCH('Процессы'!B36,'Система'!$A$5:$A$14,0)),"⚠ ID системы"))</f>
        <v/>
      </c>
      <c r="C36" s="23" t="str">
        <f>IF($A36="","",'Процессы'!C36)</f>
        <v/>
      </c>
      <c r="D36" s="23" t="str">
        <f>IF($A36="","",'Процессы'!E36)</f>
        <v/>
      </c>
      <c r="E36" s="23" t="str">
        <f>IF($A36="","",'Процессы'!F36)</f>
        <v/>
      </c>
      <c r="F36" s="23" t="str">
        <f>IF($A36="","",'Процессы'!H36)</f>
        <v/>
      </c>
      <c r="G36" s="23" t="str">
        <f>IF($A36="","",'Процессы'!I36)</f>
        <v/>
      </c>
      <c r="H36" s="23" t="str">
        <f>IF($A36="","",'Процессы'!J36)</f>
        <v/>
      </c>
      <c r="I36" s="23" t="str">
        <f t="array" ref="I36">IF($A36="","",IFERROR(INDEX('Позиции'!$C$5:$C$204,MATCH('Процессы'!M36,'Позиции'!$A$5:$A$204,0)),"⚠ ID позиции"))</f>
        <v/>
      </c>
      <c r="J36" s="23" t="str">
        <f>IF($A36="","",COUNTIF('Действия'!$B$5:$B$304,$A36))</f>
        <v/>
      </c>
      <c r="K36" s="23" t="str">
        <f>IF($A36="","",COUNTIF('Переходы'!$B$5:$B$304,$A36))</f>
        <v/>
      </c>
      <c r="L36" s="23" t="str">
        <f>IF($A36="","",'Процессы'!O36)</f>
        <v/>
      </c>
      <c r="M36" s="23" t="str">
        <f>IF($A36="","",'Процессы'!P36)</f>
        <v/>
      </c>
      <c r="N36" s="23" t="str">
        <f>IF($A36="","",'Процессы'!Q36)</f>
        <v/>
      </c>
      <c r="O36" s="23" t="str">
        <f>IF($A36="","",'Процессы'!R36)</f>
        <v/>
      </c>
      <c r="P36" s="23" t="str">
        <f>IF($A36="","",'Процессы'!S36)</f>
        <v/>
      </c>
      <c r="Q36" s="23" t="str">
        <f>IF($A36="","",IF(COUNTA('Процессы'!B36,'Процессы'!E36,'Процессы'!F36,'Процессы'!H36,'Процессы'!I36,'Процессы'!J36,'Процессы'!M36,'Процессы'!O36,'Процессы'!P36,'Процессы'!R36,'Процессы'!S36)=11,"Готово","Есть пробелы"))</f>
        <v/>
      </c>
      <c r="R36" s="23" t="str">
        <f t="array" ref="R36">IF($A36="","",IFERROR(INDEX('Диаграммы'!$A$5:$A$104,MATCH($A36,'Диаграммы'!$B$5:$B$104,0)),"не настроена"))</f>
        <v/>
      </c>
      <c r="S36" s="23" t="str">
        <f t="array" ref="S36">IF(OR($A36="",$R36="не настроена"),"",IFERROR(INDEX('Диаграммы'!$M$5:$M$104,MATCH($R36,'Диаграммы'!$A$5:$A$104,0)),""))</f>
        <v/>
      </c>
      <c r="T36" s="23" t="str">
        <f t="array" ref="T36">IF(OR($A36="",$R36="не настроена"),"",IFERROR(HYPERLINK(INDEX('Диаграммы'!$O$5:$O$104,MATCH($R36,'Диаграммы'!$A$5:$A$104,0)),"открыть"),""))</f>
        <v/>
      </c>
    </row>
    <row r="37" ht="15.75" customHeight="1">
      <c r="A37" s="23" t="str">
        <f>IF('Процессы'!A37="","",'Процессы'!A37)</f>
        <v/>
      </c>
      <c r="B37" s="23" t="str">
        <f t="array" ref="B37">IF($A37="","",IFERROR(INDEX('Система'!$B$5:$B$14,MATCH('Процессы'!B37,'Система'!$A$5:$A$14,0)),"⚠ ID системы"))</f>
        <v/>
      </c>
      <c r="C37" s="23" t="str">
        <f>IF($A37="","",'Процессы'!C37)</f>
        <v/>
      </c>
      <c r="D37" s="23" t="str">
        <f>IF($A37="","",'Процессы'!E37)</f>
        <v/>
      </c>
      <c r="E37" s="23" t="str">
        <f>IF($A37="","",'Процессы'!F37)</f>
        <v/>
      </c>
      <c r="F37" s="23" t="str">
        <f>IF($A37="","",'Процессы'!H37)</f>
        <v/>
      </c>
      <c r="G37" s="23" t="str">
        <f>IF($A37="","",'Процессы'!I37)</f>
        <v/>
      </c>
      <c r="H37" s="23" t="str">
        <f>IF($A37="","",'Процессы'!J37)</f>
        <v/>
      </c>
      <c r="I37" s="23" t="str">
        <f t="array" ref="I37">IF($A37="","",IFERROR(INDEX('Позиции'!$C$5:$C$204,MATCH('Процессы'!M37,'Позиции'!$A$5:$A$204,0)),"⚠ ID позиции"))</f>
        <v/>
      </c>
      <c r="J37" s="23" t="str">
        <f>IF($A37="","",COUNTIF('Действия'!$B$5:$B$304,$A37))</f>
        <v/>
      </c>
      <c r="K37" s="23" t="str">
        <f>IF($A37="","",COUNTIF('Переходы'!$B$5:$B$304,$A37))</f>
        <v/>
      </c>
      <c r="L37" s="23" t="str">
        <f>IF($A37="","",'Процессы'!O37)</f>
        <v/>
      </c>
      <c r="M37" s="23" t="str">
        <f>IF($A37="","",'Процессы'!P37)</f>
        <v/>
      </c>
      <c r="N37" s="23" t="str">
        <f>IF($A37="","",'Процессы'!Q37)</f>
        <v/>
      </c>
      <c r="O37" s="23" t="str">
        <f>IF($A37="","",'Процессы'!R37)</f>
        <v/>
      </c>
      <c r="P37" s="23" t="str">
        <f>IF($A37="","",'Процессы'!S37)</f>
        <v/>
      </c>
      <c r="Q37" s="23" t="str">
        <f>IF($A37="","",IF(COUNTA('Процессы'!B37,'Процессы'!E37,'Процессы'!F37,'Процессы'!H37,'Процессы'!I37,'Процессы'!J37,'Процессы'!M37,'Процессы'!O37,'Процессы'!P37,'Процессы'!R37,'Процессы'!S37)=11,"Готово","Есть пробелы"))</f>
        <v/>
      </c>
      <c r="R37" s="23" t="str">
        <f t="array" ref="R37">IF($A37="","",IFERROR(INDEX('Диаграммы'!$A$5:$A$104,MATCH($A37,'Диаграммы'!$B$5:$B$104,0)),"не настроена"))</f>
        <v/>
      </c>
      <c r="S37" s="23" t="str">
        <f t="array" ref="S37">IF(OR($A37="",$R37="не настроена"),"",IFERROR(INDEX('Диаграммы'!$M$5:$M$104,MATCH($R37,'Диаграммы'!$A$5:$A$104,0)),""))</f>
        <v/>
      </c>
      <c r="T37" s="23" t="str">
        <f t="array" ref="T37">IF(OR($A37="",$R37="не настроена"),"",IFERROR(HYPERLINK(INDEX('Диаграммы'!$O$5:$O$104,MATCH($R37,'Диаграммы'!$A$5:$A$104,0)),"открыть"),""))</f>
        <v/>
      </c>
    </row>
    <row r="38" ht="15.75" customHeight="1">
      <c r="A38" s="23" t="str">
        <f>IF('Процессы'!A38="","",'Процессы'!A38)</f>
        <v/>
      </c>
      <c r="B38" s="23" t="str">
        <f t="array" ref="B38">IF($A38="","",IFERROR(INDEX('Система'!$B$5:$B$14,MATCH('Процессы'!B38,'Система'!$A$5:$A$14,0)),"⚠ ID системы"))</f>
        <v/>
      </c>
      <c r="C38" s="23" t="str">
        <f>IF($A38="","",'Процессы'!C38)</f>
        <v/>
      </c>
      <c r="D38" s="23" t="str">
        <f>IF($A38="","",'Процессы'!E38)</f>
        <v/>
      </c>
      <c r="E38" s="23" t="str">
        <f>IF($A38="","",'Процессы'!F38)</f>
        <v/>
      </c>
      <c r="F38" s="23" t="str">
        <f>IF($A38="","",'Процессы'!H38)</f>
        <v/>
      </c>
      <c r="G38" s="23" t="str">
        <f>IF($A38="","",'Процессы'!I38)</f>
        <v/>
      </c>
      <c r="H38" s="23" t="str">
        <f>IF($A38="","",'Процессы'!J38)</f>
        <v/>
      </c>
      <c r="I38" s="23" t="str">
        <f t="array" ref="I38">IF($A38="","",IFERROR(INDEX('Позиции'!$C$5:$C$204,MATCH('Процессы'!M38,'Позиции'!$A$5:$A$204,0)),"⚠ ID позиции"))</f>
        <v/>
      </c>
      <c r="J38" s="23" t="str">
        <f>IF($A38="","",COUNTIF('Действия'!$B$5:$B$304,$A38))</f>
        <v/>
      </c>
      <c r="K38" s="23" t="str">
        <f>IF($A38="","",COUNTIF('Переходы'!$B$5:$B$304,$A38))</f>
        <v/>
      </c>
      <c r="L38" s="23" t="str">
        <f>IF($A38="","",'Процессы'!O38)</f>
        <v/>
      </c>
      <c r="M38" s="23" t="str">
        <f>IF($A38="","",'Процессы'!P38)</f>
        <v/>
      </c>
      <c r="N38" s="23" t="str">
        <f>IF($A38="","",'Процессы'!Q38)</f>
        <v/>
      </c>
      <c r="O38" s="23" t="str">
        <f>IF($A38="","",'Процессы'!R38)</f>
        <v/>
      </c>
      <c r="P38" s="23" t="str">
        <f>IF($A38="","",'Процессы'!S38)</f>
        <v/>
      </c>
      <c r="Q38" s="23" t="str">
        <f>IF($A38="","",IF(COUNTA('Процессы'!B38,'Процессы'!E38,'Процессы'!F38,'Процессы'!H38,'Процессы'!I38,'Процессы'!J38,'Процессы'!M38,'Процессы'!O38,'Процессы'!P38,'Процессы'!R38,'Процессы'!S38)=11,"Готово","Есть пробелы"))</f>
        <v/>
      </c>
      <c r="R38" s="23" t="str">
        <f t="array" ref="R38">IF($A38="","",IFERROR(INDEX('Диаграммы'!$A$5:$A$104,MATCH($A38,'Диаграммы'!$B$5:$B$104,0)),"не настроена"))</f>
        <v/>
      </c>
      <c r="S38" s="23" t="str">
        <f t="array" ref="S38">IF(OR($A38="",$R38="не настроена"),"",IFERROR(INDEX('Диаграммы'!$M$5:$M$104,MATCH($R38,'Диаграммы'!$A$5:$A$104,0)),""))</f>
        <v/>
      </c>
      <c r="T38" s="23" t="str">
        <f t="array" ref="T38">IF(OR($A38="",$R38="не настроена"),"",IFERROR(HYPERLINK(INDEX('Диаграммы'!$O$5:$O$104,MATCH($R38,'Диаграммы'!$A$5:$A$104,0)),"открыть"),""))</f>
        <v/>
      </c>
    </row>
    <row r="39" ht="15.75" customHeight="1">
      <c r="A39" s="23" t="str">
        <f>IF('Процессы'!A39="","",'Процессы'!A39)</f>
        <v/>
      </c>
      <c r="B39" s="23" t="str">
        <f t="array" ref="B39">IF($A39="","",IFERROR(INDEX('Система'!$B$5:$B$14,MATCH('Процессы'!B39,'Система'!$A$5:$A$14,0)),"⚠ ID системы"))</f>
        <v/>
      </c>
      <c r="C39" s="23" t="str">
        <f>IF($A39="","",'Процессы'!C39)</f>
        <v/>
      </c>
      <c r="D39" s="23" t="str">
        <f>IF($A39="","",'Процессы'!E39)</f>
        <v/>
      </c>
      <c r="E39" s="23" t="str">
        <f>IF($A39="","",'Процессы'!F39)</f>
        <v/>
      </c>
      <c r="F39" s="23" t="str">
        <f>IF($A39="","",'Процессы'!H39)</f>
        <v/>
      </c>
      <c r="G39" s="23" t="str">
        <f>IF($A39="","",'Процессы'!I39)</f>
        <v/>
      </c>
      <c r="H39" s="23" t="str">
        <f>IF($A39="","",'Процессы'!J39)</f>
        <v/>
      </c>
      <c r="I39" s="23" t="str">
        <f t="array" ref="I39">IF($A39="","",IFERROR(INDEX('Позиции'!$C$5:$C$204,MATCH('Процессы'!M39,'Позиции'!$A$5:$A$204,0)),"⚠ ID позиции"))</f>
        <v/>
      </c>
      <c r="J39" s="23" t="str">
        <f>IF($A39="","",COUNTIF('Действия'!$B$5:$B$304,$A39))</f>
        <v/>
      </c>
      <c r="K39" s="23" t="str">
        <f>IF($A39="","",COUNTIF('Переходы'!$B$5:$B$304,$A39))</f>
        <v/>
      </c>
      <c r="L39" s="23" t="str">
        <f>IF($A39="","",'Процессы'!O39)</f>
        <v/>
      </c>
      <c r="M39" s="23" t="str">
        <f>IF($A39="","",'Процессы'!P39)</f>
        <v/>
      </c>
      <c r="N39" s="23" t="str">
        <f>IF($A39="","",'Процессы'!Q39)</f>
        <v/>
      </c>
      <c r="O39" s="23" t="str">
        <f>IF($A39="","",'Процессы'!R39)</f>
        <v/>
      </c>
      <c r="P39" s="23" t="str">
        <f>IF($A39="","",'Процессы'!S39)</f>
        <v/>
      </c>
      <c r="Q39" s="23" t="str">
        <f>IF($A39="","",IF(COUNTA('Процессы'!B39,'Процессы'!E39,'Процессы'!F39,'Процессы'!H39,'Процессы'!I39,'Процессы'!J39,'Процессы'!M39,'Процессы'!O39,'Процессы'!P39,'Процессы'!R39,'Процессы'!S39)=11,"Готово","Есть пробелы"))</f>
        <v/>
      </c>
      <c r="R39" s="23" t="str">
        <f t="array" ref="R39">IF($A39="","",IFERROR(INDEX('Диаграммы'!$A$5:$A$104,MATCH($A39,'Диаграммы'!$B$5:$B$104,0)),"не настроена"))</f>
        <v/>
      </c>
      <c r="S39" s="23" t="str">
        <f t="array" ref="S39">IF(OR($A39="",$R39="не настроена"),"",IFERROR(INDEX('Диаграммы'!$M$5:$M$104,MATCH($R39,'Диаграммы'!$A$5:$A$104,0)),""))</f>
        <v/>
      </c>
      <c r="T39" s="23" t="str">
        <f t="array" ref="T39">IF(OR($A39="",$R39="не настроена"),"",IFERROR(HYPERLINK(INDEX('Диаграммы'!$O$5:$O$104,MATCH($R39,'Диаграммы'!$A$5:$A$104,0)),"открыть"),""))</f>
        <v/>
      </c>
    </row>
    <row r="40" ht="15.75" customHeight="1">
      <c r="A40" s="23" t="str">
        <f>IF('Процессы'!A40="","",'Процессы'!A40)</f>
        <v/>
      </c>
      <c r="B40" s="23" t="str">
        <f t="array" ref="B40">IF($A40="","",IFERROR(INDEX('Система'!$B$5:$B$14,MATCH('Процессы'!B40,'Система'!$A$5:$A$14,0)),"⚠ ID системы"))</f>
        <v/>
      </c>
      <c r="C40" s="23" t="str">
        <f>IF($A40="","",'Процессы'!C40)</f>
        <v/>
      </c>
      <c r="D40" s="23" t="str">
        <f>IF($A40="","",'Процессы'!E40)</f>
        <v/>
      </c>
      <c r="E40" s="23" t="str">
        <f>IF($A40="","",'Процессы'!F40)</f>
        <v/>
      </c>
      <c r="F40" s="23" t="str">
        <f>IF($A40="","",'Процессы'!H40)</f>
        <v/>
      </c>
      <c r="G40" s="23" t="str">
        <f>IF($A40="","",'Процессы'!I40)</f>
        <v/>
      </c>
      <c r="H40" s="23" t="str">
        <f>IF($A40="","",'Процессы'!J40)</f>
        <v/>
      </c>
      <c r="I40" s="23" t="str">
        <f t="array" ref="I40">IF($A40="","",IFERROR(INDEX('Позиции'!$C$5:$C$204,MATCH('Процессы'!M40,'Позиции'!$A$5:$A$204,0)),"⚠ ID позиции"))</f>
        <v/>
      </c>
      <c r="J40" s="23" t="str">
        <f>IF($A40="","",COUNTIF('Действия'!$B$5:$B$304,$A40))</f>
        <v/>
      </c>
      <c r="K40" s="23" t="str">
        <f>IF($A40="","",COUNTIF('Переходы'!$B$5:$B$304,$A40))</f>
        <v/>
      </c>
      <c r="L40" s="23" t="str">
        <f>IF($A40="","",'Процессы'!O40)</f>
        <v/>
      </c>
      <c r="M40" s="23" t="str">
        <f>IF($A40="","",'Процессы'!P40)</f>
        <v/>
      </c>
      <c r="N40" s="23" t="str">
        <f>IF($A40="","",'Процессы'!Q40)</f>
        <v/>
      </c>
      <c r="O40" s="23" t="str">
        <f>IF($A40="","",'Процессы'!R40)</f>
        <v/>
      </c>
      <c r="P40" s="23" t="str">
        <f>IF($A40="","",'Процессы'!S40)</f>
        <v/>
      </c>
      <c r="Q40" s="23" t="str">
        <f>IF($A40="","",IF(COUNTA('Процессы'!B40,'Процессы'!E40,'Процессы'!F40,'Процессы'!H40,'Процессы'!I40,'Процессы'!J40,'Процессы'!M40,'Процессы'!O40,'Процессы'!P40,'Процессы'!R40,'Процессы'!S40)=11,"Готово","Есть пробелы"))</f>
        <v/>
      </c>
      <c r="R40" s="23" t="str">
        <f t="array" ref="R40">IF($A40="","",IFERROR(INDEX('Диаграммы'!$A$5:$A$104,MATCH($A40,'Диаграммы'!$B$5:$B$104,0)),"не настроена"))</f>
        <v/>
      </c>
      <c r="S40" s="23" t="str">
        <f t="array" ref="S40">IF(OR($A40="",$R40="не настроена"),"",IFERROR(INDEX('Диаграммы'!$M$5:$M$104,MATCH($R40,'Диаграммы'!$A$5:$A$104,0)),""))</f>
        <v/>
      </c>
      <c r="T40" s="23" t="str">
        <f t="array" ref="T40">IF(OR($A40="",$R40="не настроена"),"",IFERROR(HYPERLINK(INDEX('Диаграммы'!$O$5:$O$104,MATCH($R40,'Диаграммы'!$A$5:$A$104,0)),"открыть"),""))</f>
        <v/>
      </c>
    </row>
    <row r="41" ht="15.75" customHeight="1">
      <c r="A41" s="23" t="str">
        <f>IF('Процессы'!A41="","",'Процессы'!A41)</f>
        <v/>
      </c>
      <c r="B41" s="23" t="str">
        <f t="array" ref="B41">IF($A41="","",IFERROR(INDEX('Система'!$B$5:$B$14,MATCH('Процессы'!B41,'Система'!$A$5:$A$14,0)),"⚠ ID системы"))</f>
        <v/>
      </c>
      <c r="C41" s="23" t="str">
        <f>IF($A41="","",'Процессы'!C41)</f>
        <v/>
      </c>
      <c r="D41" s="23" t="str">
        <f>IF($A41="","",'Процессы'!E41)</f>
        <v/>
      </c>
      <c r="E41" s="23" t="str">
        <f>IF($A41="","",'Процессы'!F41)</f>
        <v/>
      </c>
      <c r="F41" s="23" t="str">
        <f>IF($A41="","",'Процессы'!H41)</f>
        <v/>
      </c>
      <c r="G41" s="23" t="str">
        <f>IF($A41="","",'Процессы'!I41)</f>
        <v/>
      </c>
      <c r="H41" s="23" t="str">
        <f>IF($A41="","",'Процессы'!J41)</f>
        <v/>
      </c>
      <c r="I41" s="23" t="str">
        <f t="array" ref="I41">IF($A41="","",IFERROR(INDEX('Позиции'!$C$5:$C$204,MATCH('Процессы'!M41,'Позиции'!$A$5:$A$204,0)),"⚠ ID позиции"))</f>
        <v/>
      </c>
      <c r="J41" s="23" t="str">
        <f>IF($A41="","",COUNTIF('Действия'!$B$5:$B$304,$A41))</f>
        <v/>
      </c>
      <c r="K41" s="23" t="str">
        <f>IF($A41="","",COUNTIF('Переходы'!$B$5:$B$304,$A41))</f>
        <v/>
      </c>
      <c r="L41" s="23" t="str">
        <f>IF($A41="","",'Процессы'!O41)</f>
        <v/>
      </c>
      <c r="M41" s="23" t="str">
        <f>IF($A41="","",'Процессы'!P41)</f>
        <v/>
      </c>
      <c r="N41" s="23" t="str">
        <f>IF($A41="","",'Процессы'!Q41)</f>
        <v/>
      </c>
      <c r="O41" s="23" t="str">
        <f>IF($A41="","",'Процессы'!R41)</f>
        <v/>
      </c>
      <c r="P41" s="23" t="str">
        <f>IF($A41="","",'Процессы'!S41)</f>
        <v/>
      </c>
      <c r="Q41" s="23" t="str">
        <f>IF($A41="","",IF(COUNTA('Процессы'!B41,'Процессы'!E41,'Процессы'!F41,'Процессы'!H41,'Процессы'!I41,'Процессы'!J41,'Процессы'!M41,'Процессы'!O41,'Процессы'!P41,'Процессы'!R41,'Процессы'!S41)=11,"Готово","Есть пробелы"))</f>
        <v/>
      </c>
      <c r="R41" s="23" t="str">
        <f t="array" ref="R41">IF($A41="","",IFERROR(INDEX('Диаграммы'!$A$5:$A$104,MATCH($A41,'Диаграммы'!$B$5:$B$104,0)),"не настроена"))</f>
        <v/>
      </c>
      <c r="S41" s="23" t="str">
        <f t="array" ref="S41">IF(OR($A41="",$R41="не настроена"),"",IFERROR(INDEX('Диаграммы'!$M$5:$M$104,MATCH($R41,'Диаграммы'!$A$5:$A$104,0)),""))</f>
        <v/>
      </c>
      <c r="T41" s="23" t="str">
        <f t="array" ref="T41">IF(OR($A41="",$R41="не настроена"),"",IFERROR(HYPERLINK(INDEX('Диаграммы'!$O$5:$O$104,MATCH($R41,'Диаграммы'!$A$5:$A$104,0)),"открыть"),""))</f>
        <v/>
      </c>
    </row>
    <row r="42" ht="15.75" customHeight="1">
      <c r="A42" s="23" t="str">
        <f>IF('Процессы'!A42="","",'Процессы'!A42)</f>
        <v/>
      </c>
      <c r="B42" s="23" t="str">
        <f t="array" ref="B42">IF($A42="","",IFERROR(INDEX('Система'!$B$5:$B$14,MATCH('Процессы'!B42,'Система'!$A$5:$A$14,0)),"⚠ ID системы"))</f>
        <v/>
      </c>
      <c r="C42" s="23" t="str">
        <f>IF($A42="","",'Процессы'!C42)</f>
        <v/>
      </c>
      <c r="D42" s="23" t="str">
        <f>IF($A42="","",'Процессы'!E42)</f>
        <v/>
      </c>
      <c r="E42" s="23" t="str">
        <f>IF($A42="","",'Процессы'!F42)</f>
        <v/>
      </c>
      <c r="F42" s="23" t="str">
        <f>IF($A42="","",'Процессы'!H42)</f>
        <v/>
      </c>
      <c r="G42" s="23" t="str">
        <f>IF($A42="","",'Процессы'!I42)</f>
        <v/>
      </c>
      <c r="H42" s="23" t="str">
        <f>IF($A42="","",'Процессы'!J42)</f>
        <v/>
      </c>
      <c r="I42" s="23" t="str">
        <f t="array" ref="I42">IF($A42="","",IFERROR(INDEX('Позиции'!$C$5:$C$204,MATCH('Процессы'!M42,'Позиции'!$A$5:$A$204,0)),"⚠ ID позиции"))</f>
        <v/>
      </c>
      <c r="J42" s="23" t="str">
        <f>IF($A42="","",COUNTIF('Действия'!$B$5:$B$304,$A42))</f>
        <v/>
      </c>
      <c r="K42" s="23" t="str">
        <f>IF($A42="","",COUNTIF('Переходы'!$B$5:$B$304,$A42))</f>
        <v/>
      </c>
      <c r="L42" s="23" t="str">
        <f>IF($A42="","",'Процессы'!O42)</f>
        <v/>
      </c>
      <c r="M42" s="23" t="str">
        <f>IF($A42="","",'Процессы'!P42)</f>
        <v/>
      </c>
      <c r="N42" s="23" t="str">
        <f>IF($A42="","",'Процессы'!Q42)</f>
        <v/>
      </c>
      <c r="O42" s="23" t="str">
        <f>IF($A42="","",'Процессы'!R42)</f>
        <v/>
      </c>
      <c r="P42" s="23" t="str">
        <f>IF($A42="","",'Процессы'!S42)</f>
        <v/>
      </c>
      <c r="Q42" s="23" t="str">
        <f>IF($A42="","",IF(COUNTA('Процессы'!B42,'Процессы'!E42,'Процессы'!F42,'Процессы'!H42,'Процессы'!I42,'Процессы'!J42,'Процессы'!M42,'Процессы'!O42,'Процессы'!P42,'Процессы'!R42,'Процессы'!S42)=11,"Готово","Есть пробелы"))</f>
        <v/>
      </c>
      <c r="R42" s="23" t="str">
        <f t="array" ref="R42">IF($A42="","",IFERROR(INDEX('Диаграммы'!$A$5:$A$104,MATCH($A42,'Диаграммы'!$B$5:$B$104,0)),"не настроена"))</f>
        <v/>
      </c>
      <c r="S42" s="23" t="str">
        <f t="array" ref="S42">IF(OR($A42="",$R42="не настроена"),"",IFERROR(INDEX('Диаграммы'!$M$5:$M$104,MATCH($R42,'Диаграммы'!$A$5:$A$104,0)),""))</f>
        <v/>
      </c>
      <c r="T42" s="23" t="str">
        <f t="array" ref="T42">IF(OR($A42="",$R42="не настроена"),"",IFERROR(HYPERLINK(INDEX('Диаграммы'!$O$5:$O$104,MATCH($R42,'Диаграммы'!$A$5:$A$104,0)),"открыть"),""))</f>
        <v/>
      </c>
    </row>
    <row r="43" ht="15.75" customHeight="1">
      <c r="A43" s="23" t="str">
        <f>IF('Процессы'!A43="","",'Процессы'!A43)</f>
        <v/>
      </c>
      <c r="B43" s="23" t="str">
        <f t="array" ref="B43">IF($A43="","",IFERROR(INDEX('Система'!$B$5:$B$14,MATCH('Процессы'!B43,'Система'!$A$5:$A$14,0)),"⚠ ID системы"))</f>
        <v/>
      </c>
      <c r="C43" s="23" t="str">
        <f>IF($A43="","",'Процессы'!C43)</f>
        <v/>
      </c>
      <c r="D43" s="23" t="str">
        <f>IF($A43="","",'Процессы'!E43)</f>
        <v/>
      </c>
      <c r="E43" s="23" t="str">
        <f>IF($A43="","",'Процессы'!F43)</f>
        <v/>
      </c>
      <c r="F43" s="23" t="str">
        <f>IF($A43="","",'Процессы'!H43)</f>
        <v/>
      </c>
      <c r="G43" s="23" t="str">
        <f>IF($A43="","",'Процессы'!I43)</f>
        <v/>
      </c>
      <c r="H43" s="23" t="str">
        <f>IF($A43="","",'Процессы'!J43)</f>
        <v/>
      </c>
      <c r="I43" s="23" t="str">
        <f t="array" ref="I43">IF($A43="","",IFERROR(INDEX('Позиции'!$C$5:$C$204,MATCH('Процессы'!M43,'Позиции'!$A$5:$A$204,0)),"⚠ ID позиции"))</f>
        <v/>
      </c>
      <c r="J43" s="23" t="str">
        <f>IF($A43="","",COUNTIF('Действия'!$B$5:$B$304,$A43))</f>
        <v/>
      </c>
      <c r="K43" s="23" t="str">
        <f>IF($A43="","",COUNTIF('Переходы'!$B$5:$B$304,$A43))</f>
        <v/>
      </c>
      <c r="L43" s="23" t="str">
        <f>IF($A43="","",'Процессы'!O43)</f>
        <v/>
      </c>
      <c r="M43" s="23" t="str">
        <f>IF($A43="","",'Процессы'!P43)</f>
        <v/>
      </c>
      <c r="N43" s="23" t="str">
        <f>IF($A43="","",'Процессы'!Q43)</f>
        <v/>
      </c>
      <c r="O43" s="23" t="str">
        <f>IF($A43="","",'Процессы'!R43)</f>
        <v/>
      </c>
      <c r="P43" s="23" t="str">
        <f>IF($A43="","",'Процессы'!S43)</f>
        <v/>
      </c>
      <c r="Q43" s="23" t="str">
        <f>IF($A43="","",IF(COUNTA('Процессы'!B43,'Процессы'!E43,'Процессы'!F43,'Процессы'!H43,'Процессы'!I43,'Процессы'!J43,'Процессы'!M43,'Процессы'!O43,'Процессы'!P43,'Процессы'!R43,'Процессы'!S43)=11,"Готово","Есть пробелы"))</f>
        <v/>
      </c>
      <c r="R43" s="23" t="str">
        <f t="array" ref="R43">IF($A43="","",IFERROR(INDEX('Диаграммы'!$A$5:$A$104,MATCH($A43,'Диаграммы'!$B$5:$B$104,0)),"не настроена"))</f>
        <v/>
      </c>
      <c r="S43" s="23" t="str">
        <f t="array" ref="S43">IF(OR($A43="",$R43="не настроена"),"",IFERROR(INDEX('Диаграммы'!$M$5:$M$104,MATCH($R43,'Диаграммы'!$A$5:$A$104,0)),""))</f>
        <v/>
      </c>
      <c r="T43" s="23" t="str">
        <f t="array" ref="T43">IF(OR($A43="",$R43="не настроена"),"",IFERROR(HYPERLINK(INDEX('Диаграммы'!$O$5:$O$104,MATCH($R43,'Диаграммы'!$A$5:$A$104,0)),"открыть"),""))</f>
        <v/>
      </c>
    </row>
    <row r="44" ht="15.75" customHeight="1">
      <c r="A44" s="23" t="str">
        <f>IF('Процессы'!A44="","",'Процессы'!A44)</f>
        <v/>
      </c>
      <c r="B44" s="23" t="str">
        <f t="array" ref="B44">IF($A44="","",IFERROR(INDEX('Система'!$B$5:$B$14,MATCH('Процессы'!B44,'Система'!$A$5:$A$14,0)),"⚠ ID системы"))</f>
        <v/>
      </c>
      <c r="C44" s="23" t="str">
        <f>IF($A44="","",'Процессы'!C44)</f>
        <v/>
      </c>
      <c r="D44" s="23" t="str">
        <f>IF($A44="","",'Процессы'!E44)</f>
        <v/>
      </c>
      <c r="E44" s="23" t="str">
        <f>IF($A44="","",'Процессы'!F44)</f>
        <v/>
      </c>
      <c r="F44" s="23" t="str">
        <f>IF($A44="","",'Процессы'!H44)</f>
        <v/>
      </c>
      <c r="G44" s="23" t="str">
        <f>IF($A44="","",'Процессы'!I44)</f>
        <v/>
      </c>
      <c r="H44" s="23" t="str">
        <f>IF($A44="","",'Процессы'!J44)</f>
        <v/>
      </c>
      <c r="I44" s="23" t="str">
        <f t="array" ref="I44">IF($A44="","",IFERROR(INDEX('Позиции'!$C$5:$C$204,MATCH('Процессы'!M44,'Позиции'!$A$5:$A$204,0)),"⚠ ID позиции"))</f>
        <v/>
      </c>
      <c r="J44" s="23" t="str">
        <f>IF($A44="","",COUNTIF('Действия'!$B$5:$B$304,$A44))</f>
        <v/>
      </c>
      <c r="K44" s="23" t="str">
        <f>IF($A44="","",COUNTIF('Переходы'!$B$5:$B$304,$A44))</f>
        <v/>
      </c>
      <c r="L44" s="23" t="str">
        <f>IF($A44="","",'Процессы'!O44)</f>
        <v/>
      </c>
      <c r="M44" s="23" t="str">
        <f>IF($A44="","",'Процессы'!P44)</f>
        <v/>
      </c>
      <c r="N44" s="23" t="str">
        <f>IF($A44="","",'Процессы'!Q44)</f>
        <v/>
      </c>
      <c r="O44" s="23" t="str">
        <f>IF($A44="","",'Процессы'!R44)</f>
        <v/>
      </c>
      <c r="P44" s="23" t="str">
        <f>IF($A44="","",'Процессы'!S44)</f>
        <v/>
      </c>
      <c r="Q44" s="23" t="str">
        <f>IF($A44="","",IF(COUNTA('Процессы'!B44,'Процессы'!E44,'Процессы'!F44,'Процессы'!H44,'Процессы'!I44,'Процессы'!J44,'Процессы'!M44,'Процессы'!O44,'Процессы'!P44,'Процессы'!R44,'Процессы'!S44)=11,"Готово","Есть пробелы"))</f>
        <v/>
      </c>
      <c r="R44" s="23" t="str">
        <f t="array" ref="R44">IF($A44="","",IFERROR(INDEX('Диаграммы'!$A$5:$A$104,MATCH($A44,'Диаграммы'!$B$5:$B$104,0)),"не настроена"))</f>
        <v/>
      </c>
      <c r="S44" s="23" t="str">
        <f t="array" ref="S44">IF(OR($A44="",$R44="не настроена"),"",IFERROR(INDEX('Диаграммы'!$M$5:$M$104,MATCH($R44,'Диаграммы'!$A$5:$A$104,0)),""))</f>
        <v/>
      </c>
      <c r="T44" s="23" t="str">
        <f t="array" ref="T44">IF(OR($A44="",$R44="не настроена"),"",IFERROR(HYPERLINK(INDEX('Диаграммы'!$O$5:$O$104,MATCH($R44,'Диаграммы'!$A$5:$A$104,0)),"открыть"),""))</f>
        <v/>
      </c>
    </row>
    <row r="45" ht="15.75" customHeight="1">
      <c r="A45" s="23" t="str">
        <f>IF('Процессы'!A45="","",'Процессы'!A45)</f>
        <v/>
      </c>
      <c r="B45" s="23" t="str">
        <f t="array" ref="B45">IF($A45="","",IFERROR(INDEX('Система'!$B$5:$B$14,MATCH('Процессы'!B45,'Система'!$A$5:$A$14,0)),"⚠ ID системы"))</f>
        <v/>
      </c>
      <c r="C45" s="23" t="str">
        <f>IF($A45="","",'Процессы'!C45)</f>
        <v/>
      </c>
      <c r="D45" s="23" t="str">
        <f>IF($A45="","",'Процессы'!E45)</f>
        <v/>
      </c>
      <c r="E45" s="23" t="str">
        <f>IF($A45="","",'Процессы'!F45)</f>
        <v/>
      </c>
      <c r="F45" s="23" t="str">
        <f>IF($A45="","",'Процессы'!H45)</f>
        <v/>
      </c>
      <c r="G45" s="23" t="str">
        <f>IF($A45="","",'Процессы'!I45)</f>
        <v/>
      </c>
      <c r="H45" s="23" t="str">
        <f>IF($A45="","",'Процессы'!J45)</f>
        <v/>
      </c>
      <c r="I45" s="23" t="str">
        <f t="array" ref="I45">IF($A45="","",IFERROR(INDEX('Позиции'!$C$5:$C$204,MATCH('Процессы'!M45,'Позиции'!$A$5:$A$204,0)),"⚠ ID позиции"))</f>
        <v/>
      </c>
      <c r="J45" s="23" t="str">
        <f>IF($A45="","",COUNTIF('Действия'!$B$5:$B$304,$A45))</f>
        <v/>
      </c>
      <c r="K45" s="23" t="str">
        <f>IF($A45="","",COUNTIF('Переходы'!$B$5:$B$304,$A45))</f>
        <v/>
      </c>
      <c r="L45" s="23" t="str">
        <f>IF($A45="","",'Процессы'!O45)</f>
        <v/>
      </c>
      <c r="M45" s="23" t="str">
        <f>IF($A45="","",'Процессы'!P45)</f>
        <v/>
      </c>
      <c r="N45" s="23" t="str">
        <f>IF($A45="","",'Процессы'!Q45)</f>
        <v/>
      </c>
      <c r="O45" s="23" t="str">
        <f>IF($A45="","",'Процессы'!R45)</f>
        <v/>
      </c>
      <c r="P45" s="23" t="str">
        <f>IF($A45="","",'Процессы'!S45)</f>
        <v/>
      </c>
      <c r="Q45" s="23" t="str">
        <f>IF($A45="","",IF(COUNTA('Процессы'!B45,'Процессы'!E45,'Процессы'!F45,'Процессы'!H45,'Процессы'!I45,'Процессы'!J45,'Процессы'!M45,'Процессы'!O45,'Процессы'!P45,'Процессы'!R45,'Процессы'!S45)=11,"Готово","Есть пробелы"))</f>
        <v/>
      </c>
      <c r="R45" s="23" t="str">
        <f t="array" ref="R45">IF($A45="","",IFERROR(INDEX('Диаграммы'!$A$5:$A$104,MATCH($A45,'Диаграммы'!$B$5:$B$104,0)),"не настроена"))</f>
        <v/>
      </c>
      <c r="S45" s="23" t="str">
        <f t="array" ref="S45">IF(OR($A45="",$R45="не настроена"),"",IFERROR(INDEX('Диаграммы'!$M$5:$M$104,MATCH($R45,'Диаграммы'!$A$5:$A$104,0)),""))</f>
        <v/>
      </c>
      <c r="T45" s="23" t="str">
        <f t="array" ref="T45">IF(OR($A45="",$R45="не настроена"),"",IFERROR(HYPERLINK(INDEX('Диаграммы'!$O$5:$O$104,MATCH($R45,'Диаграммы'!$A$5:$A$104,0)),"открыть"),""))</f>
        <v/>
      </c>
    </row>
    <row r="46" ht="15.75" customHeight="1">
      <c r="A46" s="23" t="str">
        <f>IF('Процессы'!A46="","",'Процессы'!A46)</f>
        <v/>
      </c>
      <c r="B46" s="23" t="str">
        <f t="array" ref="B46">IF($A46="","",IFERROR(INDEX('Система'!$B$5:$B$14,MATCH('Процессы'!B46,'Система'!$A$5:$A$14,0)),"⚠ ID системы"))</f>
        <v/>
      </c>
      <c r="C46" s="23" t="str">
        <f>IF($A46="","",'Процессы'!C46)</f>
        <v/>
      </c>
      <c r="D46" s="23" t="str">
        <f>IF($A46="","",'Процессы'!E46)</f>
        <v/>
      </c>
      <c r="E46" s="23" t="str">
        <f>IF($A46="","",'Процессы'!F46)</f>
        <v/>
      </c>
      <c r="F46" s="23" t="str">
        <f>IF($A46="","",'Процессы'!H46)</f>
        <v/>
      </c>
      <c r="G46" s="23" t="str">
        <f>IF($A46="","",'Процессы'!I46)</f>
        <v/>
      </c>
      <c r="H46" s="23" t="str">
        <f>IF($A46="","",'Процессы'!J46)</f>
        <v/>
      </c>
      <c r="I46" s="23" t="str">
        <f t="array" ref="I46">IF($A46="","",IFERROR(INDEX('Позиции'!$C$5:$C$204,MATCH('Процессы'!M46,'Позиции'!$A$5:$A$204,0)),"⚠ ID позиции"))</f>
        <v/>
      </c>
      <c r="J46" s="23" t="str">
        <f>IF($A46="","",COUNTIF('Действия'!$B$5:$B$304,$A46))</f>
        <v/>
      </c>
      <c r="K46" s="23" t="str">
        <f>IF($A46="","",COUNTIF('Переходы'!$B$5:$B$304,$A46))</f>
        <v/>
      </c>
      <c r="L46" s="23" t="str">
        <f>IF($A46="","",'Процессы'!O46)</f>
        <v/>
      </c>
      <c r="M46" s="23" t="str">
        <f>IF($A46="","",'Процессы'!P46)</f>
        <v/>
      </c>
      <c r="N46" s="23" t="str">
        <f>IF($A46="","",'Процессы'!Q46)</f>
        <v/>
      </c>
      <c r="O46" s="23" t="str">
        <f>IF($A46="","",'Процессы'!R46)</f>
        <v/>
      </c>
      <c r="P46" s="23" t="str">
        <f>IF($A46="","",'Процессы'!S46)</f>
        <v/>
      </c>
      <c r="Q46" s="23" t="str">
        <f>IF($A46="","",IF(COUNTA('Процессы'!B46,'Процессы'!E46,'Процессы'!F46,'Процессы'!H46,'Процессы'!I46,'Процессы'!J46,'Процессы'!M46,'Процессы'!O46,'Процессы'!P46,'Процессы'!R46,'Процессы'!S46)=11,"Готово","Есть пробелы"))</f>
        <v/>
      </c>
      <c r="R46" s="23" t="str">
        <f t="array" ref="R46">IF($A46="","",IFERROR(INDEX('Диаграммы'!$A$5:$A$104,MATCH($A46,'Диаграммы'!$B$5:$B$104,0)),"не настроена"))</f>
        <v/>
      </c>
      <c r="S46" s="23" t="str">
        <f t="array" ref="S46">IF(OR($A46="",$R46="не настроена"),"",IFERROR(INDEX('Диаграммы'!$M$5:$M$104,MATCH($R46,'Диаграммы'!$A$5:$A$104,0)),""))</f>
        <v/>
      </c>
      <c r="T46" s="23" t="str">
        <f t="array" ref="T46">IF(OR($A46="",$R46="не настроена"),"",IFERROR(HYPERLINK(INDEX('Диаграммы'!$O$5:$O$104,MATCH($R46,'Диаграммы'!$A$5:$A$104,0)),"открыть"),""))</f>
        <v/>
      </c>
    </row>
    <row r="47" ht="15.75" customHeight="1">
      <c r="A47" s="23" t="str">
        <f>IF('Процессы'!A47="","",'Процессы'!A47)</f>
        <v/>
      </c>
      <c r="B47" s="23" t="str">
        <f t="array" ref="B47">IF($A47="","",IFERROR(INDEX('Система'!$B$5:$B$14,MATCH('Процессы'!B47,'Система'!$A$5:$A$14,0)),"⚠ ID системы"))</f>
        <v/>
      </c>
      <c r="C47" s="23" t="str">
        <f>IF($A47="","",'Процессы'!C47)</f>
        <v/>
      </c>
      <c r="D47" s="23" t="str">
        <f>IF($A47="","",'Процессы'!E47)</f>
        <v/>
      </c>
      <c r="E47" s="23" t="str">
        <f>IF($A47="","",'Процессы'!F47)</f>
        <v/>
      </c>
      <c r="F47" s="23" t="str">
        <f>IF($A47="","",'Процессы'!H47)</f>
        <v/>
      </c>
      <c r="G47" s="23" t="str">
        <f>IF($A47="","",'Процессы'!I47)</f>
        <v/>
      </c>
      <c r="H47" s="23" t="str">
        <f>IF($A47="","",'Процессы'!J47)</f>
        <v/>
      </c>
      <c r="I47" s="23" t="str">
        <f t="array" ref="I47">IF($A47="","",IFERROR(INDEX('Позиции'!$C$5:$C$204,MATCH('Процессы'!M47,'Позиции'!$A$5:$A$204,0)),"⚠ ID позиции"))</f>
        <v/>
      </c>
      <c r="J47" s="23" t="str">
        <f>IF($A47="","",COUNTIF('Действия'!$B$5:$B$304,$A47))</f>
        <v/>
      </c>
      <c r="K47" s="23" t="str">
        <f>IF($A47="","",COUNTIF('Переходы'!$B$5:$B$304,$A47))</f>
        <v/>
      </c>
      <c r="L47" s="23" t="str">
        <f>IF($A47="","",'Процессы'!O47)</f>
        <v/>
      </c>
      <c r="M47" s="23" t="str">
        <f>IF($A47="","",'Процессы'!P47)</f>
        <v/>
      </c>
      <c r="N47" s="23" t="str">
        <f>IF($A47="","",'Процессы'!Q47)</f>
        <v/>
      </c>
      <c r="O47" s="23" t="str">
        <f>IF($A47="","",'Процессы'!R47)</f>
        <v/>
      </c>
      <c r="P47" s="23" t="str">
        <f>IF($A47="","",'Процессы'!S47)</f>
        <v/>
      </c>
      <c r="Q47" s="23" t="str">
        <f>IF($A47="","",IF(COUNTA('Процессы'!B47,'Процессы'!E47,'Процессы'!F47,'Процессы'!H47,'Процессы'!I47,'Процессы'!J47,'Процессы'!M47,'Процессы'!O47,'Процессы'!P47,'Процессы'!R47,'Процессы'!S47)=11,"Готово","Есть пробелы"))</f>
        <v/>
      </c>
      <c r="R47" s="23" t="str">
        <f t="array" ref="R47">IF($A47="","",IFERROR(INDEX('Диаграммы'!$A$5:$A$104,MATCH($A47,'Диаграммы'!$B$5:$B$104,0)),"не настроена"))</f>
        <v/>
      </c>
      <c r="S47" s="23" t="str">
        <f t="array" ref="S47">IF(OR($A47="",$R47="не настроена"),"",IFERROR(INDEX('Диаграммы'!$M$5:$M$104,MATCH($R47,'Диаграммы'!$A$5:$A$104,0)),""))</f>
        <v/>
      </c>
      <c r="T47" s="23" t="str">
        <f t="array" ref="T47">IF(OR($A47="",$R47="не настроена"),"",IFERROR(HYPERLINK(INDEX('Диаграммы'!$O$5:$O$104,MATCH($R47,'Диаграммы'!$A$5:$A$104,0)),"открыть"),""))</f>
        <v/>
      </c>
    </row>
    <row r="48" ht="15.75" customHeight="1">
      <c r="A48" s="23" t="str">
        <f>IF('Процессы'!A48="","",'Процессы'!A48)</f>
        <v/>
      </c>
      <c r="B48" s="23" t="str">
        <f t="array" ref="B48">IF($A48="","",IFERROR(INDEX('Система'!$B$5:$B$14,MATCH('Процессы'!B48,'Система'!$A$5:$A$14,0)),"⚠ ID системы"))</f>
        <v/>
      </c>
      <c r="C48" s="23" t="str">
        <f>IF($A48="","",'Процессы'!C48)</f>
        <v/>
      </c>
      <c r="D48" s="23" t="str">
        <f>IF($A48="","",'Процессы'!E48)</f>
        <v/>
      </c>
      <c r="E48" s="23" t="str">
        <f>IF($A48="","",'Процессы'!F48)</f>
        <v/>
      </c>
      <c r="F48" s="23" t="str">
        <f>IF($A48="","",'Процессы'!H48)</f>
        <v/>
      </c>
      <c r="G48" s="23" t="str">
        <f>IF($A48="","",'Процессы'!I48)</f>
        <v/>
      </c>
      <c r="H48" s="23" t="str">
        <f>IF($A48="","",'Процессы'!J48)</f>
        <v/>
      </c>
      <c r="I48" s="23" t="str">
        <f t="array" ref="I48">IF($A48="","",IFERROR(INDEX('Позиции'!$C$5:$C$204,MATCH('Процессы'!M48,'Позиции'!$A$5:$A$204,0)),"⚠ ID позиции"))</f>
        <v/>
      </c>
      <c r="J48" s="23" t="str">
        <f>IF($A48="","",COUNTIF('Действия'!$B$5:$B$304,$A48))</f>
        <v/>
      </c>
      <c r="K48" s="23" t="str">
        <f>IF($A48="","",COUNTIF('Переходы'!$B$5:$B$304,$A48))</f>
        <v/>
      </c>
      <c r="L48" s="23" t="str">
        <f>IF($A48="","",'Процессы'!O48)</f>
        <v/>
      </c>
      <c r="M48" s="23" t="str">
        <f>IF($A48="","",'Процессы'!P48)</f>
        <v/>
      </c>
      <c r="N48" s="23" t="str">
        <f>IF($A48="","",'Процессы'!Q48)</f>
        <v/>
      </c>
      <c r="O48" s="23" t="str">
        <f>IF($A48="","",'Процессы'!R48)</f>
        <v/>
      </c>
      <c r="P48" s="23" t="str">
        <f>IF($A48="","",'Процессы'!S48)</f>
        <v/>
      </c>
      <c r="Q48" s="23" t="str">
        <f>IF($A48="","",IF(COUNTA('Процессы'!B48,'Процессы'!E48,'Процессы'!F48,'Процессы'!H48,'Процессы'!I48,'Процессы'!J48,'Процессы'!M48,'Процессы'!O48,'Процессы'!P48,'Процессы'!R48,'Процессы'!S48)=11,"Готово","Есть пробелы"))</f>
        <v/>
      </c>
      <c r="R48" s="23" t="str">
        <f t="array" ref="R48">IF($A48="","",IFERROR(INDEX('Диаграммы'!$A$5:$A$104,MATCH($A48,'Диаграммы'!$B$5:$B$104,0)),"не настроена"))</f>
        <v/>
      </c>
      <c r="S48" s="23" t="str">
        <f t="array" ref="S48">IF(OR($A48="",$R48="не настроена"),"",IFERROR(INDEX('Диаграммы'!$M$5:$M$104,MATCH($R48,'Диаграммы'!$A$5:$A$104,0)),""))</f>
        <v/>
      </c>
      <c r="T48" s="23" t="str">
        <f t="array" ref="T48">IF(OR($A48="",$R48="не настроена"),"",IFERROR(HYPERLINK(INDEX('Диаграммы'!$O$5:$O$104,MATCH($R48,'Диаграммы'!$A$5:$A$104,0)),"открыть"),""))</f>
        <v/>
      </c>
    </row>
    <row r="49" ht="15.75" customHeight="1">
      <c r="A49" s="23" t="str">
        <f>IF('Процессы'!A49="","",'Процессы'!A49)</f>
        <v/>
      </c>
      <c r="B49" s="23" t="str">
        <f t="array" ref="B49">IF($A49="","",IFERROR(INDEX('Система'!$B$5:$B$14,MATCH('Процессы'!B49,'Система'!$A$5:$A$14,0)),"⚠ ID системы"))</f>
        <v/>
      </c>
      <c r="C49" s="23" t="str">
        <f>IF($A49="","",'Процессы'!C49)</f>
        <v/>
      </c>
      <c r="D49" s="23" t="str">
        <f>IF($A49="","",'Процессы'!E49)</f>
        <v/>
      </c>
      <c r="E49" s="23" t="str">
        <f>IF($A49="","",'Процессы'!F49)</f>
        <v/>
      </c>
      <c r="F49" s="23" t="str">
        <f>IF($A49="","",'Процессы'!H49)</f>
        <v/>
      </c>
      <c r="G49" s="23" t="str">
        <f>IF($A49="","",'Процессы'!I49)</f>
        <v/>
      </c>
      <c r="H49" s="23" t="str">
        <f>IF($A49="","",'Процессы'!J49)</f>
        <v/>
      </c>
      <c r="I49" s="23" t="str">
        <f t="array" ref="I49">IF($A49="","",IFERROR(INDEX('Позиции'!$C$5:$C$204,MATCH('Процессы'!M49,'Позиции'!$A$5:$A$204,0)),"⚠ ID позиции"))</f>
        <v/>
      </c>
      <c r="J49" s="23" t="str">
        <f>IF($A49="","",COUNTIF('Действия'!$B$5:$B$304,$A49))</f>
        <v/>
      </c>
      <c r="K49" s="23" t="str">
        <f>IF($A49="","",COUNTIF('Переходы'!$B$5:$B$304,$A49))</f>
        <v/>
      </c>
      <c r="L49" s="23" t="str">
        <f>IF($A49="","",'Процессы'!O49)</f>
        <v/>
      </c>
      <c r="M49" s="23" t="str">
        <f>IF($A49="","",'Процессы'!P49)</f>
        <v/>
      </c>
      <c r="N49" s="23" t="str">
        <f>IF($A49="","",'Процессы'!Q49)</f>
        <v/>
      </c>
      <c r="O49" s="23" t="str">
        <f>IF($A49="","",'Процессы'!R49)</f>
        <v/>
      </c>
      <c r="P49" s="23" t="str">
        <f>IF($A49="","",'Процессы'!S49)</f>
        <v/>
      </c>
      <c r="Q49" s="23" t="str">
        <f>IF($A49="","",IF(COUNTA('Процессы'!B49,'Процессы'!E49,'Процессы'!F49,'Процессы'!H49,'Процессы'!I49,'Процессы'!J49,'Процессы'!M49,'Процессы'!O49,'Процессы'!P49,'Процессы'!R49,'Процессы'!S49)=11,"Готово","Есть пробелы"))</f>
        <v/>
      </c>
      <c r="R49" s="23" t="str">
        <f t="array" ref="R49">IF($A49="","",IFERROR(INDEX('Диаграммы'!$A$5:$A$104,MATCH($A49,'Диаграммы'!$B$5:$B$104,0)),"не настроена"))</f>
        <v/>
      </c>
      <c r="S49" s="23" t="str">
        <f t="array" ref="S49">IF(OR($A49="",$R49="не настроена"),"",IFERROR(INDEX('Диаграммы'!$M$5:$M$104,MATCH($R49,'Диаграммы'!$A$5:$A$104,0)),""))</f>
        <v/>
      </c>
      <c r="T49" s="23" t="str">
        <f t="array" ref="T49">IF(OR($A49="",$R49="не настроена"),"",IFERROR(HYPERLINK(INDEX('Диаграммы'!$O$5:$O$104,MATCH($R49,'Диаграммы'!$A$5:$A$104,0)),"открыть"),""))</f>
        <v/>
      </c>
    </row>
    <row r="50" ht="15.75" customHeight="1">
      <c r="A50" s="23" t="str">
        <f>IF('Процессы'!A50="","",'Процессы'!A50)</f>
        <v/>
      </c>
      <c r="B50" s="23" t="str">
        <f t="array" ref="B50">IF($A50="","",IFERROR(INDEX('Система'!$B$5:$B$14,MATCH('Процессы'!B50,'Система'!$A$5:$A$14,0)),"⚠ ID системы"))</f>
        <v/>
      </c>
      <c r="C50" s="23" t="str">
        <f>IF($A50="","",'Процессы'!C50)</f>
        <v/>
      </c>
      <c r="D50" s="23" t="str">
        <f>IF($A50="","",'Процессы'!E50)</f>
        <v/>
      </c>
      <c r="E50" s="23" t="str">
        <f>IF($A50="","",'Процессы'!F50)</f>
        <v/>
      </c>
      <c r="F50" s="23" t="str">
        <f>IF($A50="","",'Процессы'!H50)</f>
        <v/>
      </c>
      <c r="G50" s="23" t="str">
        <f>IF($A50="","",'Процессы'!I50)</f>
        <v/>
      </c>
      <c r="H50" s="23" t="str">
        <f>IF($A50="","",'Процессы'!J50)</f>
        <v/>
      </c>
      <c r="I50" s="23" t="str">
        <f t="array" ref="I50">IF($A50="","",IFERROR(INDEX('Позиции'!$C$5:$C$204,MATCH('Процессы'!M50,'Позиции'!$A$5:$A$204,0)),"⚠ ID позиции"))</f>
        <v/>
      </c>
      <c r="J50" s="23" t="str">
        <f>IF($A50="","",COUNTIF('Действия'!$B$5:$B$304,$A50))</f>
        <v/>
      </c>
      <c r="K50" s="23" t="str">
        <f>IF($A50="","",COUNTIF('Переходы'!$B$5:$B$304,$A50))</f>
        <v/>
      </c>
      <c r="L50" s="23" t="str">
        <f>IF($A50="","",'Процессы'!O50)</f>
        <v/>
      </c>
      <c r="M50" s="23" t="str">
        <f>IF($A50="","",'Процессы'!P50)</f>
        <v/>
      </c>
      <c r="N50" s="23" t="str">
        <f>IF($A50="","",'Процессы'!Q50)</f>
        <v/>
      </c>
      <c r="O50" s="23" t="str">
        <f>IF($A50="","",'Процессы'!R50)</f>
        <v/>
      </c>
      <c r="P50" s="23" t="str">
        <f>IF($A50="","",'Процессы'!S50)</f>
        <v/>
      </c>
      <c r="Q50" s="23" t="str">
        <f>IF($A50="","",IF(COUNTA('Процессы'!B50,'Процессы'!E50,'Процессы'!F50,'Процессы'!H50,'Процессы'!I50,'Процессы'!J50,'Процессы'!M50,'Процессы'!O50,'Процессы'!P50,'Процессы'!R50,'Процессы'!S50)=11,"Готово","Есть пробелы"))</f>
        <v/>
      </c>
      <c r="R50" s="23" t="str">
        <f t="array" ref="R50">IF($A50="","",IFERROR(INDEX('Диаграммы'!$A$5:$A$104,MATCH($A50,'Диаграммы'!$B$5:$B$104,0)),"не настроена"))</f>
        <v/>
      </c>
      <c r="S50" s="23" t="str">
        <f t="array" ref="S50">IF(OR($A50="",$R50="не настроена"),"",IFERROR(INDEX('Диаграммы'!$M$5:$M$104,MATCH($R50,'Диаграммы'!$A$5:$A$104,0)),""))</f>
        <v/>
      </c>
      <c r="T50" s="23" t="str">
        <f t="array" ref="T50">IF(OR($A50="",$R50="не настроена"),"",IFERROR(HYPERLINK(INDEX('Диаграммы'!$O$5:$O$104,MATCH($R50,'Диаграммы'!$A$5:$A$104,0)),"открыть"),""))</f>
        <v/>
      </c>
    </row>
    <row r="51" ht="15.75" customHeight="1">
      <c r="A51" s="23" t="str">
        <f>IF('Процессы'!A51="","",'Процессы'!A51)</f>
        <v/>
      </c>
      <c r="B51" s="23" t="str">
        <f t="array" ref="B51">IF($A51="","",IFERROR(INDEX('Система'!$B$5:$B$14,MATCH('Процессы'!B51,'Система'!$A$5:$A$14,0)),"⚠ ID системы"))</f>
        <v/>
      </c>
      <c r="C51" s="23" t="str">
        <f>IF($A51="","",'Процессы'!C51)</f>
        <v/>
      </c>
      <c r="D51" s="23" t="str">
        <f>IF($A51="","",'Процессы'!E51)</f>
        <v/>
      </c>
      <c r="E51" s="23" t="str">
        <f>IF($A51="","",'Процессы'!F51)</f>
        <v/>
      </c>
      <c r="F51" s="23" t="str">
        <f>IF($A51="","",'Процессы'!H51)</f>
        <v/>
      </c>
      <c r="G51" s="23" t="str">
        <f>IF($A51="","",'Процессы'!I51)</f>
        <v/>
      </c>
      <c r="H51" s="23" t="str">
        <f>IF($A51="","",'Процессы'!J51)</f>
        <v/>
      </c>
      <c r="I51" s="23" t="str">
        <f t="array" ref="I51">IF($A51="","",IFERROR(INDEX('Позиции'!$C$5:$C$204,MATCH('Процессы'!M51,'Позиции'!$A$5:$A$204,0)),"⚠ ID позиции"))</f>
        <v/>
      </c>
      <c r="J51" s="23" t="str">
        <f>IF($A51="","",COUNTIF('Действия'!$B$5:$B$304,$A51))</f>
        <v/>
      </c>
      <c r="K51" s="23" t="str">
        <f>IF($A51="","",COUNTIF('Переходы'!$B$5:$B$304,$A51))</f>
        <v/>
      </c>
      <c r="L51" s="23" t="str">
        <f>IF($A51="","",'Процессы'!O51)</f>
        <v/>
      </c>
      <c r="M51" s="23" t="str">
        <f>IF($A51="","",'Процессы'!P51)</f>
        <v/>
      </c>
      <c r="N51" s="23" t="str">
        <f>IF($A51="","",'Процессы'!Q51)</f>
        <v/>
      </c>
      <c r="O51" s="23" t="str">
        <f>IF($A51="","",'Процессы'!R51)</f>
        <v/>
      </c>
      <c r="P51" s="23" t="str">
        <f>IF($A51="","",'Процессы'!S51)</f>
        <v/>
      </c>
      <c r="Q51" s="23" t="str">
        <f>IF($A51="","",IF(COUNTA('Процессы'!B51,'Процессы'!E51,'Процессы'!F51,'Процессы'!H51,'Процессы'!I51,'Процессы'!J51,'Процессы'!M51,'Процессы'!O51,'Процессы'!P51,'Процессы'!R51,'Процессы'!S51)=11,"Готово","Есть пробелы"))</f>
        <v/>
      </c>
      <c r="R51" s="23" t="str">
        <f t="array" ref="R51">IF($A51="","",IFERROR(INDEX('Диаграммы'!$A$5:$A$104,MATCH($A51,'Диаграммы'!$B$5:$B$104,0)),"не настроена"))</f>
        <v/>
      </c>
      <c r="S51" s="23" t="str">
        <f t="array" ref="S51">IF(OR($A51="",$R51="не настроена"),"",IFERROR(INDEX('Диаграммы'!$M$5:$M$104,MATCH($R51,'Диаграммы'!$A$5:$A$104,0)),""))</f>
        <v/>
      </c>
      <c r="T51" s="23" t="str">
        <f t="array" ref="T51">IF(OR($A51="",$R51="не настроена"),"",IFERROR(HYPERLINK(INDEX('Диаграммы'!$O$5:$O$104,MATCH($R51,'Диаграммы'!$A$5:$A$104,0)),"открыть"),""))</f>
        <v/>
      </c>
    </row>
    <row r="52" ht="15.75" customHeight="1">
      <c r="A52" s="23" t="str">
        <f>IF('Процессы'!A52="","",'Процессы'!A52)</f>
        <v/>
      </c>
      <c r="B52" s="23" t="str">
        <f t="array" ref="B52">IF($A52="","",IFERROR(INDEX('Система'!$B$5:$B$14,MATCH('Процессы'!B52,'Система'!$A$5:$A$14,0)),"⚠ ID системы"))</f>
        <v/>
      </c>
      <c r="C52" s="23" t="str">
        <f>IF($A52="","",'Процессы'!C52)</f>
        <v/>
      </c>
      <c r="D52" s="23" t="str">
        <f>IF($A52="","",'Процессы'!E52)</f>
        <v/>
      </c>
      <c r="E52" s="23" t="str">
        <f>IF($A52="","",'Процессы'!F52)</f>
        <v/>
      </c>
      <c r="F52" s="23" t="str">
        <f>IF($A52="","",'Процессы'!H52)</f>
        <v/>
      </c>
      <c r="G52" s="23" t="str">
        <f>IF($A52="","",'Процессы'!I52)</f>
        <v/>
      </c>
      <c r="H52" s="23" t="str">
        <f>IF($A52="","",'Процессы'!J52)</f>
        <v/>
      </c>
      <c r="I52" s="23" t="str">
        <f t="array" ref="I52">IF($A52="","",IFERROR(INDEX('Позиции'!$C$5:$C$204,MATCH('Процессы'!M52,'Позиции'!$A$5:$A$204,0)),"⚠ ID позиции"))</f>
        <v/>
      </c>
      <c r="J52" s="23" t="str">
        <f>IF($A52="","",COUNTIF('Действия'!$B$5:$B$304,$A52))</f>
        <v/>
      </c>
      <c r="K52" s="23" t="str">
        <f>IF($A52="","",COUNTIF('Переходы'!$B$5:$B$304,$A52))</f>
        <v/>
      </c>
      <c r="L52" s="23" t="str">
        <f>IF($A52="","",'Процессы'!O52)</f>
        <v/>
      </c>
      <c r="M52" s="23" t="str">
        <f>IF($A52="","",'Процессы'!P52)</f>
        <v/>
      </c>
      <c r="N52" s="23" t="str">
        <f>IF($A52="","",'Процессы'!Q52)</f>
        <v/>
      </c>
      <c r="O52" s="23" t="str">
        <f>IF($A52="","",'Процессы'!R52)</f>
        <v/>
      </c>
      <c r="P52" s="23" t="str">
        <f>IF($A52="","",'Процессы'!S52)</f>
        <v/>
      </c>
      <c r="Q52" s="23" t="str">
        <f>IF($A52="","",IF(COUNTA('Процессы'!B52,'Процессы'!E52,'Процессы'!F52,'Процессы'!H52,'Процессы'!I52,'Процессы'!J52,'Процессы'!M52,'Процессы'!O52,'Процессы'!P52,'Процессы'!R52,'Процессы'!S52)=11,"Готово","Есть пробелы"))</f>
        <v/>
      </c>
      <c r="R52" s="23" t="str">
        <f t="array" ref="R52">IF($A52="","",IFERROR(INDEX('Диаграммы'!$A$5:$A$104,MATCH($A52,'Диаграммы'!$B$5:$B$104,0)),"не настроена"))</f>
        <v/>
      </c>
      <c r="S52" s="23" t="str">
        <f t="array" ref="S52">IF(OR($A52="",$R52="не настроена"),"",IFERROR(INDEX('Диаграммы'!$M$5:$M$104,MATCH($R52,'Диаграммы'!$A$5:$A$104,0)),""))</f>
        <v/>
      </c>
      <c r="T52" s="23" t="str">
        <f t="array" ref="T52">IF(OR($A52="",$R52="не настроена"),"",IFERROR(HYPERLINK(INDEX('Диаграммы'!$O$5:$O$104,MATCH($R52,'Диаграммы'!$A$5:$A$104,0)),"открыть"),""))</f>
        <v/>
      </c>
    </row>
    <row r="53" ht="15.75" customHeight="1">
      <c r="A53" s="23" t="str">
        <f>IF('Процессы'!A53="","",'Процессы'!A53)</f>
        <v/>
      </c>
      <c r="B53" s="23" t="str">
        <f t="array" ref="B53">IF($A53="","",IFERROR(INDEX('Система'!$B$5:$B$14,MATCH('Процессы'!B53,'Система'!$A$5:$A$14,0)),"⚠ ID системы"))</f>
        <v/>
      </c>
      <c r="C53" s="23" t="str">
        <f>IF($A53="","",'Процессы'!C53)</f>
        <v/>
      </c>
      <c r="D53" s="23" t="str">
        <f>IF($A53="","",'Процессы'!E53)</f>
        <v/>
      </c>
      <c r="E53" s="23" t="str">
        <f>IF($A53="","",'Процессы'!F53)</f>
        <v/>
      </c>
      <c r="F53" s="23" t="str">
        <f>IF($A53="","",'Процессы'!H53)</f>
        <v/>
      </c>
      <c r="G53" s="23" t="str">
        <f>IF($A53="","",'Процессы'!I53)</f>
        <v/>
      </c>
      <c r="H53" s="23" t="str">
        <f>IF($A53="","",'Процессы'!J53)</f>
        <v/>
      </c>
      <c r="I53" s="23" t="str">
        <f t="array" ref="I53">IF($A53="","",IFERROR(INDEX('Позиции'!$C$5:$C$204,MATCH('Процессы'!M53,'Позиции'!$A$5:$A$204,0)),"⚠ ID позиции"))</f>
        <v/>
      </c>
      <c r="J53" s="23" t="str">
        <f>IF($A53="","",COUNTIF('Действия'!$B$5:$B$304,$A53))</f>
        <v/>
      </c>
      <c r="K53" s="23" t="str">
        <f>IF($A53="","",COUNTIF('Переходы'!$B$5:$B$304,$A53))</f>
        <v/>
      </c>
      <c r="L53" s="23" t="str">
        <f>IF($A53="","",'Процессы'!O53)</f>
        <v/>
      </c>
      <c r="M53" s="23" t="str">
        <f>IF($A53="","",'Процессы'!P53)</f>
        <v/>
      </c>
      <c r="N53" s="23" t="str">
        <f>IF($A53="","",'Процессы'!Q53)</f>
        <v/>
      </c>
      <c r="O53" s="23" t="str">
        <f>IF($A53="","",'Процессы'!R53)</f>
        <v/>
      </c>
      <c r="P53" s="23" t="str">
        <f>IF($A53="","",'Процессы'!S53)</f>
        <v/>
      </c>
      <c r="Q53" s="23" t="str">
        <f>IF($A53="","",IF(COUNTA('Процессы'!B53,'Процессы'!E53,'Процессы'!F53,'Процессы'!H53,'Процессы'!I53,'Процессы'!J53,'Процессы'!M53,'Процессы'!O53,'Процессы'!P53,'Процессы'!R53,'Процессы'!S53)=11,"Готово","Есть пробелы"))</f>
        <v/>
      </c>
      <c r="R53" s="23" t="str">
        <f t="array" ref="R53">IF($A53="","",IFERROR(INDEX('Диаграммы'!$A$5:$A$104,MATCH($A53,'Диаграммы'!$B$5:$B$104,0)),"не настроена"))</f>
        <v/>
      </c>
      <c r="S53" s="23" t="str">
        <f t="array" ref="S53">IF(OR($A53="",$R53="не настроена"),"",IFERROR(INDEX('Диаграммы'!$M$5:$M$104,MATCH($R53,'Диаграммы'!$A$5:$A$104,0)),""))</f>
        <v/>
      </c>
      <c r="T53" s="23" t="str">
        <f t="array" ref="T53">IF(OR($A53="",$R53="не настроена"),"",IFERROR(HYPERLINK(INDEX('Диаграммы'!$O$5:$O$104,MATCH($R53,'Диаграммы'!$A$5:$A$104,0)),"открыть"),""))</f>
        <v/>
      </c>
    </row>
    <row r="54" ht="15.75" customHeight="1">
      <c r="A54" s="23" t="str">
        <f>IF('Процессы'!A54="","",'Процессы'!A54)</f>
        <v/>
      </c>
      <c r="B54" s="23" t="str">
        <f t="array" ref="B54">IF($A54="","",IFERROR(INDEX('Система'!$B$5:$B$14,MATCH('Процессы'!B54,'Система'!$A$5:$A$14,0)),"⚠ ID системы"))</f>
        <v/>
      </c>
      <c r="C54" s="23" t="str">
        <f>IF($A54="","",'Процессы'!C54)</f>
        <v/>
      </c>
      <c r="D54" s="23" t="str">
        <f>IF($A54="","",'Процессы'!E54)</f>
        <v/>
      </c>
      <c r="E54" s="23" t="str">
        <f>IF($A54="","",'Процессы'!F54)</f>
        <v/>
      </c>
      <c r="F54" s="23" t="str">
        <f>IF($A54="","",'Процессы'!H54)</f>
        <v/>
      </c>
      <c r="G54" s="23" t="str">
        <f>IF($A54="","",'Процессы'!I54)</f>
        <v/>
      </c>
      <c r="H54" s="23" t="str">
        <f>IF($A54="","",'Процессы'!J54)</f>
        <v/>
      </c>
      <c r="I54" s="23" t="str">
        <f t="array" ref="I54">IF($A54="","",IFERROR(INDEX('Позиции'!$C$5:$C$204,MATCH('Процессы'!M54,'Позиции'!$A$5:$A$204,0)),"⚠ ID позиции"))</f>
        <v/>
      </c>
      <c r="J54" s="23" t="str">
        <f>IF($A54="","",COUNTIF('Действия'!$B$5:$B$304,$A54))</f>
        <v/>
      </c>
      <c r="K54" s="23" t="str">
        <f>IF($A54="","",COUNTIF('Переходы'!$B$5:$B$304,$A54))</f>
        <v/>
      </c>
      <c r="L54" s="23" t="str">
        <f>IF($A54="","",'Процессы'!O54)</f>
        <v/>
      </c>
      <c r="M54" s="23" t="str">
        <f>IF($A54="","",'Процессы'!P54)</f>
        <v/>
      </c>
      <c r="N54" s="23" t="str">
        <f>IF($A54="","",'Процессы'!Q54)</f>
        <v/>
      </c>
      <c r="O54" s="23" t="str">
        <f>IF($A54="","",'Процессы'!R54)</f>
        <v/>
      </c>
      <c r="P54" s="23" t="str">
        <f>IF($A54="","",'Процессы'!S54)</f>
        <v/>
      </c>
      <c r="Q54" s="23" t="str">
        <f>IF($A54="","",IF(COUNTA('Процессы'!B54,'Процессы'!E54,'Процессы'!F54,'Процессы'!H54,'Процессы'!I54,'Процессы'!J54,'Процессы'!M54,'Процессы'!O54,'Процессы'!P54,'Процессы'!R54,'Процессы'!S54)=11,"Готово","Есть пробелы"))</f>
        <v/>
      </c>
      <c r="R54" s="23" t="str">
        <f t="array" ref="R54">IF($A54="","",IFERROR(INDEX('Диаграммы'!$A$5:$A$104,MATCH($A54,'Диаграммы'!$B$5:$B$104,0)),"не настроена"))</f>
        <v/>
      </c>
      <c r="S54" s="23" t="str">
        <f t="array" ref="S54">IF(OR($A54="",$R54="не настроена"),"",IFERROR(INDEX('Диаграммы'!$M$5:$M$104,MATCH($R54,'Диаграммы'!$A$5:$A$104,0)),""))</f>
        <v/>
      </c>
      <c r="T54" s="23" t="str">
        <f t="array" ref="T54">IF(OR($A54="",$R54="не настроена"),"",IFERROR(HYPERLINK(INDEX('Диаграммы'!$O$5:$O$104,MATCH($R54,'Диаграммы'!$A$5:$A$104,0)),"открыть"),""))</f>
        <v/>
      </c>
    </row>
    <row r="55" ht="15.75" customHeight="1">
      <c r="A55" s="23" t="str">
        <f>IF('Процессы'!A55="","",'Процессы'!A55)</f>
        <v/>
      </c>
      <c r="B55" s="23" t="str">
        <f t="array" ref="B55">IF($A55="","",IFERROR(INDEX('Система'!$B$5:$B$14,MATCH('Процессы'!B55,'Система'!$A$5:$A$14,0)),"⚠ ID системы"))</f>
        <v/>
      </c>
      <c r="C55" s="23" t="str">
        <f>IF($A55="","",'Процессы'!C55)</f>
        <v/>
      </c>
      <c r="D55" s="23" t="str">
        <f>IF($A55="","",'Процессы'!E55)</f>
        <v/>
      </c>
      <c r="E55" s="23" t="str">
        <f>IF($A55="","",'Процессы'!F55)</f>
        <v/>
      </c>
      <c r="F55" s="23" t="str">
        <f>IF($A55="","",'Процессы'!H55)</f>
        <v/>
      </c>
      <c r="G55" s="23" t="str">
        <f>IF($A55="","",'Процессы'!I55)</f>
        <v/>
      </c>
      <c r="H55" s="23" t="str">
        <f>IF($A55="","",'Процессы'!J55)</f>
        <v/>
      </c>
      <c r="I55" s="23" t="str">
        <f t="array" ref="I55">IF($A55="","",IFERROR(INDEX('Позиции'!$C$5:$C$204,MATCH('Процессы'!M55,'Позиции'!$A$5:$A$204,0)),"⚠ ID позиции"))</f>
        <v/>
      </c>
      <c r="J55" s="23" t="str">
        <f>IF($A55="","",COUNTIF('Действия'!$B$5:$B$304,$A55))</f>
        <v/>
      </c>
      <c r="K55" s="23" t="str">
        <f>IF($A55="","",COUNTIF('Переходы'!$B$5:$B$304,$A55))</f>
        <v/>
      </c>
      <c r="L55" s="23" t="str">
        <f>IF($A55="","",'Процессы'!O55)</f>
        <v/>
      </c>
      <c r="M55" s="23" t="str">
        <f>IF($A55="","",'Процессы'!P55)</f>
        <v/>
      </c>
      <c r="N55" s="23" t="str">
        <f>IF($A55="","",'Процессы'!Q55)</f>
        <v/>
      </c>
      <c r="O55" s="23" t="str">
        <f>IF($A55="","",'Процессы'!R55)</f>
        <v/>
      </c>
      <c r="P55" s="23" t="str">
        <f>IF($A55="","",'Процессы'!S55)</f>
        <v/>
      </c>
      <c r="Q55" s="23" t="str">
        <f>IF($A55="","",IF(COUNTA('Процессы'!B55,'Процессы'!E55,'Процессы'!F55,'Процессы'!H55,'Процессы'!I55,'Процессы'!J55,'Процессы'!M55,'Процессы'!O55,'Процессы'!P55,'Процессы'!R55,'Процессы'!S55)=11,"Готово","Есть пробелы"))</f>
        <v/>
      </c>
      <c r="R55" s="23" t="str">
        <f t="array" ref="R55">IF($A55="","",IFERROR(INDEX('Диаграммы'!$A$5:$A$104,MATCH($A55,'Диаграммы'!$B$5:$B$104,0)),"не настроена"))</f>
        <v/>
      </c>
      <c r="S55" s="23" t="str">
        <f t="array" ref="S55">IF(OR($A55="",$R55="не настроена"),"",IFERROR(INDEX('Диаграммы'!$M$5:$M$104,MATCH($R55,'Диаграммы'!$A$5:$A$104,0)),""))</f>
        <v/>
      </c>
      <c r="T55" s="23" t="str">
        <f t="array" ref="T55">IF(OR($A55="",$R55="не настроена"),"",IFERROR(HYPERLINK(INDEX('Диаграммы'!$O$5:$O$104,MATCH($R55,'Диаграммы'!$A$5:$A$104,0)),"открыть"),""))</f>
        <v/>
      </c>
    </row>
    <row r="56" ht="15.75" customHeight="1">
      <c r="A56" s="23" t="str">
        <f>IF('Процессы'!A56="","",'Процессы'!A56)</f>
        <v/>
      </c>
      <c r="B56" s="23" t="str">
        <f t="array" ref="B56">IF($A56="","",IFERROR(INDEX('Система'!$B$5:$B$14,MATCH('Процессы'!B56,'Система'!$A$5:$A$14,0)),"⚠ ID системы"))</f>
        <v/>
      </c>
      <c r="C56" s="23" t="str">
        <f>IF($A56="","",'Процессы'!C56)</f>
        <v/>
      </c>
      <c r="D56" s="23" t="str">
        <f>IF($A56="","",'Процессы'!E56)</f>
        <v/>
      </c>
      <c r="E56" s="23" t="str">
        <f>IF($A56="","",'Процессы'!F56)</f>
        <v/>
      </c>
      <c r="F56" s="23" t="str">
        <f>IF($A56="","",'Процессы'!H56)</f>
        <v/>
      </c>
      <c r="G56" s="23" t="str">
        <f>IF($A56="","",'Процессы'!I56)</f>
        <v/>
      </c>
      <c r="H56" s="23" t="str">
        <f>IF($A56="","",'Процессы'!J56)</f>
        <v/>
      </c>
      <c r="I56" s="23" t="str">
        <f t="array" ref="I56">IF($A56="","",IFERROR(INDEX('Позиции'!$C$5:$C$204,MATCH('Процессы'!M56,'Позиции'!$A$5:$A$204,0)),"⚠ ID позиции"))</f>
        <v/>
      </c>
      <c r="J56" s="23" t="str">
        <f>IF($A56="","",COUNTIF('Действия'!$B$5:$B$304,$A56))</f>
        <v/>
      </c>
      <c r="K56" s="23" t="str">
        <f>IF($A56="","",COUNTIF('Переходы'!$B$5:$B$304,$A56))</f>
        <v/>
      </c>
      <c r="L56" s="23" t="str">
        <f>IF($A56="","",'Процессы'!O56)</f>
        <v/>
      </c>
      <c r="M56" s="23" t="str">
        <f>IF($A56="","",'Процессы'!P56)</f>
        <v/>
      </c>
      <c r="N56" s="23" t="str">
        <f>IF($A56="","",'Процессы'!Q56)</f>
        <v/>
      </c>
      <c r="O56" s="23" t="str">
        <f>IF($A56="","",'Процессы'!R56)</f>
        <v/>
      </c>
      <c r="P56" s="23" t="str">
        <f>IF($A56="","",'Процессы'!S56)</f>
        <v/>
      </c>
      <c r="Q56" s="23" t="str">
        <f>IF($A56="","",IF(COUNTA('Процессы'!B56,'Процессы'!E56,'Процессы'!F56,'Процессы'!H56,'Процессы'!I56,'Процессы'!J56,'Процессы'!M56,'Процессы'!O56,'Процессы'!P56,'Процессы'!R56,'Процессы'!S56)=11,"Готово","Есть пробелы"))</f>
        <v/>
      </c>
      <c r="R56" s="23" t="str">
        <f t="array" ref="R56">IF($A56="","",IFERROR(INDEX('Диаграммы'!$A$5:$A$104,MATCH($A56,'Диаграммы'!$B$5:$B$104,0)),"не настроена"))</f>
        <v/>
      </c>
      <c r="S56" s="23" t="str">
        <f t="array" ref="S56">IF(OR($A56="",$R56="не настроена"),"",IFERROR(INDEX('Диаграммы'!$M$5:$M$104,MATCH($R56,'Диаграммы'!$A$5:$A$104,0)),""))</f>
        <v/>
      </c>
      <c r="T56" s="23" t="str">
        <f t="array" ref="T56">IF(OR($A56="",$R56="не настроена"),"",IFERROR(HYPERLINK(INDEX('Диаграммы'!$O$5:$O$104,MATCH($R56,'Диаграммы'!$A$5:$A$104,0)),"открыть"),""))</f>
        <v/>
      </c>
    </row>
    <row r="57" ht="15.75" customHeight="1">
      <c r="A57" s="23" t="str">
        <f>IF('Процессы'!A57="","",'Процессы'!A57)</f>
        <v/>
      </c>
      <c r="B57" s="23" t="str">
        <f t="array" ref="B57">IF($A57="","",IFERROR(INDEX('Система'!$B$5:$B$14,MATCH('Процессы'!B57,'Система'!$A$5:$A$14,0)),"⚠ ID системы"))</f>
        <v/>
      </c>
      <c r="C57" s="23" t="str">
        <f>IF($A57="","",'Процессы'!C57)</f>
        <v/>
      </c>
      <c r="D57" s="23" t="str">
        <f>IF($A57="","",'Процессы'!E57)</f>
        <v/>
      </c>
      <c r="E57" s="23" t="str">
        <f>IF($A57="","",'Процессы'!F57)</f>
        <v/>
      </c>
      <c r="F57" s="23" t="str">
        <f>IF($A57="","",'Процессы'!H57)</f>
        <v/>
      </c>
      <c r="G57" s="23" t="str">
        <f>IF($A57="","",'Процессы'!I57)</f>
        <v/>
      </c>
      <c r="H57" s="23" t="str">
        <f>IF($A57="","",'Процессы'!J57)</f>
        <v/>
      </c>
      <c r="I57" s="23" t="str">
        <f t="array" ref="I57">IF($A57="","",IFERROR(INDEX('Позиции'!$C$5:$C$204,MATCH('Процессы'!M57,'Позиции'!$A$5:$A$204,0)),"⚠ ID позиции"))</f>
        <v/>
      </c>
      <c r="J57" s="23" t="str">
        <f>IF($A57="","",COUNTIF('Действия'!$B$5:$B$304,$A57))</f>
        <v/>
      </c>
      <c r="K57" s="23" t="str">
        <f>IF($A57="","",COUNTIF('Переходы'!$B$5:$B$304,$A57))</f>
        <v/>
      </c>
      <c r="L57" s="23" t="str">
        <f>IF($A57="","",'Процессы'!O57)</f>
        <v/>
      </c>
      <c r="M57" s="23" t="str">
        <f>IF($A57="","",'Процессы'!P57)</f>
        <v/>
      </c>
      <c r="N57" s="23" t="str">
        <f>IF($A57="","",'Процессы'!Q57)</f>
        <v/>
      </c>
      <c r="O57" s="23" t="str">
        <f>IF($A57="","",'Процессы'!R57)</f>
        <v/>
      </c>
      <c r="P57" s="23" t="str">
        <f>IF($A57="","",'Процессы'!S57)</f>
        <v/>
      </c>
      <c r="Q57" s="23" t="str">
        <f>IF($A57="","",IF(COUNTA('Процессы'!B57,'Процессы'!E57,'Процессы'!F57,'Процессы'!H57,'Процессы'!I57,'Процессы'!J57,'Процессы'!M57,'Процессы'!O57,'Процессы'!P57,'Процессы'!R57,'Процессы'!S57)=11,"Готово","Есть пробелы"))</f>
        <v/>
      </c>
      <c r="R57" s="23" t="str">
        <f t="array" ref="R57">IF($A57="","",IFERROR(INDEX('Диаграммы'!$A$5:$A$104,MATCH($A57,'Диаграммы'!$B$5:$B$104,0)),"не настроена"))</f>
        <v/>
      </c>
      <c r="S57" s="23" t="str">
        <f t="array" ref="S57">IF(OR($A57="",$R57="не настроена"),"",IFERROR(INDEX('Диаграммы'!$M$5:$M$104,MATCH($R57,'Диаграммы'!$A$5:$A$104,0)),""))</f>
        <v/>
      </c>
      <c r="T57" s="23" t="str">
        <f t="array" ref="T57">IF(OR($A57="",$R57="не настроена"),"",IFERROR(HYPERLINK(INDEX('Диаграммы'!$O$5:$O$104,MATCH($R57,'Диаграммы'!$A$5:$A$104,0)),"открыть"),""))</f>
        <v/>
      </c>
    </row>
    <row r="58" ht="15.75" customHeight="1">
      <c r="A58" s="23" t="str">
        <f>IF('Процессы'!A58="","",'Процессы'!A58)</f>
        <v/>
      </c>
      <c r="B58" s="23" t="str">
        <f t="array" ref="B58">IF($A58="","",IFERROR(INDEX('Система'!$B$5:$B$14,MATCH('Процессы'!B58,'Система'!$A$5:$A$14,0)),"⚠ ID системы"))</f>
        <v/>
      </c>
      <c r="C58" s="23" t="str">
        <f>IF($A58="","",'Процессы'!C58)</f>
        <v/>
      </c>
      <c r="D58" s="23" t="str">
        <f>IF($A58="","",'Процессы'!E58)</f>
        <v/>
      </c>
      <c r="E58" s="23" t="str">
        <f>IF($A58="","",'Процессы'!F58)</f>
        <v/>
      </c>
      <c r="F58" s="23" t="str">
        <f>IF($A58="","",'Процессы'!H58)</f>
        <v/>
      </c>
      <c r="G58" s="23" t="str">
        <f>IF($A58="","",'Процессы'!I58)</f>
        <v/>
      </c>
      <c r="H58" s="23" t="str">
        <f>IF($A58="","",'Процессы'!J58)</f>
        <v/>
      </c>
      <c r="I58" s="23" t="str">
        <f t="array" ref="I58">IF($A58="","",IFERROR(INDEX('Позиции'!$C$5:$C$204,MATCH('Процессы'!M58,'Позиции'!$A$5:$A$204,0)),"⚠ ID позиции"))</f>
        <v/>
      </c>
      <c r="J58" s="23" t="str">
        <f>IF($A58="","",COUNTIF('Действия'!$B$5:$B$304,$A58))</f>
        <v/>
      </c>
      <c r="K58" s="23" t="str">
        <f>IF($A58="","",COUNTIF('Переходы'!$B$5:$B$304,$A58))</f>
        <v/>
      </c>
      <c r="L58" s="23" t="str">
        <f>IF($A58="","",'Процессы'!O58)</f>
        <v/>
      </c>
      <c r="M58" s="23" t="str">
        <f>IF($A58="","",'Процессы'!P58)</f>
        <v/>
      </c>
      <c r="N58" s="23" t="str">
        <f>IF($A58="","",'Процессы'!Q58)</f>
        <v/>
      </c>
      <c r="O58" s="23" t="str">
        <f>IF($A58="","",'Процессы'!R58)</f>
        <v/>
      </c>
      <c r="P58" s="23" t="str">
        <f>IF($A58="","",'Процессы'!S58)</f>
        <v/>
      </c>
      <c r="Q58" s="23" t="str">
        <f>IF($A58="","",IF(COUNTA('Процессы'!B58,'Процессы'!E58,'Процессы'!F58,'Процессы'!H58,'Процессы'!I58,'Процессы'!J58,'Процессы'!M58,'Процессы'!O58,'Процессы'!P58,'Процессы'!R58,'Процессы'!S58)=11,"Готово","Есть пробелы"))</f>
        <v/>
      </c>
      <c r="R58" s="23" t="str">
        <f t="array" ref="R58">IF($A58="","",IFERROR(INDEX('Диаграммы'!$A$5:$A$104,MATCH($A58,'Диаграммы'!$B$5:$B$104,0)),"не настроена"))</f>
        <v/>
      </c>
      <c r="S58" s="23" t="str">
        <f t="array" ref="S58">IF(OR($A58="",$R58="не настроена"),"",IFERROR(INDEX('Диаграммы'!$M$5:$M$104,MATCH($R58,'Диаграммы'!$A$5:$A$104,0)),""))</f>
        <v/>
      </c>
      <c r="T58" s="23" t="str">
        <f t="array" ref="T58">IF(OR($A58="",$R58="не настроена"),"",IFERROR(HYPERLINK(INDEX('Диаграммы'!$O$5:$O$104,MATCH($R58,'Диаграммы'!$A$5:$A$104,0)),"открыть"),""))</f>
        <v/>
      </c>
    </row>
    <row r="59" ht="15.75" customHeight="1">
      <c r="A59" s="23" t="str">
        <f>IF('Процессы'!A59="","",'Процессы'!A59)</f>
        <v/>
      </c>
      <c r="B59" s="23" t="str">
        <f t="array" ref="B59">IF($A59="","",IFERROR(INDEX('Система'!$B$5:$B$14,MATCH('Процессы'!B59,'Система'!$A$5:$A$14,0)),"⚠ ID системы"))</f>
        <v/>
      </c>
      <c r="C59" s="23" t="str">
        <f>IF($A59="","",'Процессы'!C59)</f>
        <v/>
      </c>
      <c r="D59" s="23" t="str">
        <f>IF($A59="","",'Процессы'!E59)</f>
        <v/>
      </c>
      <c r="E59" s="23" t="str">
        <f>IF($A59="","",'Процессы'!F59)</f>
        <v/>
      </c>
      <c r="F59" s="23" t="str">
        <f>IF($A59="","",'Процессы'!H59)</f>
        <v/>
      </c>
      <c r="G59" s="23" t="str">
        <f>IF($A59="","",'Процессы'!I59)</f>
        <v/>
      </c>
      <c r="H59" s="23" t="str">
        <f>IF($A59="","",'Процессы'!J59)</f>
        <v/>
      </c>
      <c r="I59" s="23" t="str">
        <f t="array" ref="I59">IF($A59="","",IFERROR(INDEX('Позиции'!$C$5:$C$204,MATCH('Процессы'!M59,'Позиции'!$A$5:$A$204,0)),"⚠ ID позиции"))</f>
        <v/>
      </c>
      <c r="J59" s="23" t="str">
        <f>IF($A59="","",COUNTIF('Действия'!$B$5:$B$304,$A59))</f>
        <v/>
      </c>
      <c r="K59" s="23" t="str">
        <f>IF($A59="","",COUNTIF('Переходы'!$B$5:$B$304,$A59))</f>
        <v/>
      </c>
      <c r="L59" s="23" t="str">
        <f>IF($A59="","",'Процессы'!O59)</f>
        <v/>
      </c>
      <c r="M59" s="23" t="str">
        <f>IF($A59="","",'Процессы'!P59)</f>
        <v/>
      </c>
      <c r="N59" s="23" t="str">
        <f>IF($A59="","",'Процессы'!Q59)</f>
        <v/>
      </c>
      <c r="O59" s="23" t="str">
        <f>IF($A59="","",'Процессы'!R59)</f>
        <v/>
      </c>
      <c r="P59" s="23" t="str">
        <f>IF($A59="","",'Процессы'!S59)</f>
        <v/>
      </c>
      <c r="Q59" s="23" t="str">
        <f>IF($A59="","",IF(COUNTA('Процессы'!B59,'Процессы'!E59,'Процессы'!F59,'Процессы'!H59,'Процессы'!I59,'Процессы'!J59,'Процессы'!M59,'Процессы'!O59,'Процессы'!P59,'Процессы'!R59,'Процессы'!S59)=11,"Готово","Есть пробелы"))</f>
        <v/>
      </c>
      <c r="R59" s="23" t="str">
        <f t="array" ref="R59">IF($A59="","",IFERROR(INDEX('Диаграммы'!$A$5:$A$104,MATCH($A59,'Диаграммы'!$B$5:$B$104,0)),"не настроена"))</f>
        <v/>
      </c>
      <c r="S59" s="23" t="str">
        <f t="array" ref="S59">IF(OR($A59="",$R59="не настроена"),"",IFERROR(INDEX('Диаграммы'!$M$5:$M$104,MATCH($R59,'Диаграммы'!$A$5:$A$104,0)),""))</f>
        <v/>
      </c>
      <c r="T59" s="23" t="str">
        <f t="array" ref="T59">IF(OR($A59="",$R59="не настроена"),"",IFERROR(HYPERLINK(INDEX('Диаграммы'!$O$5:$O$104,MATCH($R59,'Диаграммы'!$A$5:$A$104,0)),"открыть"),""))</f>
        <v/>
      </c>
    </row>
    <row r="60" ht="15.75" customHeight="1">
      <c r="A60" s="23" t="str">
        <f>IF('Процессы'!A60="","",'Процессы'!A60)</f>
        <v/>
      </c>
      <c r="B60" s="23" t="str">
        <f t="array" ref="B60">IF($A60="","",IFERROR(INDEX('Система'!$B$5:$B$14,MATCH('Процессы'!B60,'Система'!$A$5:$A$14,0)),"⚠ ID системы"))</f>
        <v/>
      </c>
      <c r="C60" s="23" t="str">
        <f>IF($A60="","",'Процессы'!C60)</f>
        <v/>
      </c>
      <c r="D60" s="23" t="str">
        <f>IF($A60="","",'Процессы'!E60)</f>
        <v/>
      </c>
      <c r="E60" s="23" t="str">
        <f>IF($A60="","",'Процессы'!F60)</f>
        <v/>
      </c>
      <c r="F60" s="23" t="str">
        <f>IF($A60="","",'Процессы'!H60)</f>
        <v/>
      </c>
      <c r="G60" s="23" t="str">
        <f>IF($A60="","",'Процессы'!I60)</f>
        <v/>
      </c>
      <c r="H60" s="23" t="str">
        <f>IF($A60="","",'Процессы'!J60)</f>
        <v/>
      </c>
      <c r="I60" s="23" t="str">
        <f t="array" ref="I60">IF($A60="","",IFERROR(INDEX('Позиции'!$C$5:$C$204,MATCH('Процессы'!M60,'Позиции'!$A$5:$A$204,0)),"⚠ ID позиции"))</f>
        <v/>
      </c>
      <c r="J60" s="23" t="str">
        <f>IF($A60="","",COUNTIF('Действия'!$B$5:$B$304,$A60))</f>
        <v/>
      </c>
      <c r="K60" s="23" t="str">
        <f>IF($A60="","",COUNTIF('Переходы'!$B$5:$B$304,$A60))</f>
        <v/>
      </c>
      <c r="L60" s="23" t="str">
        <f>IF($A60="","",'Процессы'!O60)</f>
        <v/>
      </c>
      <c r="M60" s="23" t="str">
        <f>IF($A60="","",'Процессы'!P60)</f>
        <v/>
      </c>
      <c r="N60" s="23" t="str">
        <f>IF($A60="","",'Процессы'!Q60)</f>
        <v/>
      </c>
      <c r="O60" s="23" t="str">
        <f>IF($A60="","",'Процессы'!R60)</f>
        <v/>
      </c>
      <c r="P60" s="23" t="str">
        <f>IF($A60="","",'Процессы'!S60)</f>
        <v/>
      </c>
      <c r="Q60" s="23" t="str">
        <f>IF($A60="","",IF(COUNTA('Процессы'!B60,'Процессы'!E60,'Процессы'!F60,'Процессы'!H60,'Процессы'!I60,'Процессы'!J60,'Процессы'!M60,'Процессы'!O60,'Процессы'!P60,'Процессы'!R60,'Процессы'!S60)=11,"Готово","Есть пробелы"))</f>
        <v/>
      </c>
      <c r="R60" s="23" t="str">
        <f t="array" ref="R60">IF($A60="","",IFERROR(INDEX('Диаграммы'!$A$5:$A$104,MATCH($A60,'Диаграммы'!$B$5:$B$104,0)),"не настроена"))</f>
        <v/>
      </c>
      <c r="S60" s="23" t="str">
        <f t="array" ref="S60">IF(OR($A60="",$R60="не настроена"),"",IFERROR(INDEX('Диаграммы'!$M$5:$M$104,MATCH($R60,'Диаграммы'!$A$5:$A$104,0)),""))</f>
        <v/>
      </c>
      <c r="T60" s="23" t="str">
        <f t="array" ref="T60">IF(OR($A60="",$R60="не настроена"),"",IFERROR(HYPERLINK(INDEX('Диаграммы'!$O$5:$O$104,MATCH($R60,'Диаграммы'!$A$5:$A$104,0)),"открыть"),""))</f>
        <v/>
      </c>
    </row>
    <row r="61" ht="15.75" customHeight="1">
      <c r="A61" s="23" t="str">
        <f>IF('Процессы'!A61="","",'Процессы'!A61)</f>
        <v/>
      </c>
      <c r="B61" s="23" t="str">
        <f t="array" ref="B61">IF($A61="","",IFERROR(INDEX('Система'!$B$5:$B$14,MATCH('Процессы'!B61,'Система'!$A$5:$A$14,0)),"⚠ ID системы"))</f>
        <v/>
      </c>
      <c r="C61" s="23" t="str">
        <f>IF($A61="","",'Процессы'!C61)</f>
        <v/>
      </c>
      <c r="D61" s="23" t="str">
        <f>IF($A61="","",'Процессы'!E61)</f>
        <v/>
      </c>
      <c r="E61" s="23" t="str">
        <f>IF($A61="","",'Процессы'!F61)</f>
        <v/>
      </c>
      <c r="F61" s="23" t="str">
        <f>IF($A61="","",'Процессы'!H61)</f>
        <v/>
      </c>
      <c r="G61" s="23" t="str">
        <f>IF($A61="","",'Процессы'!I61)</f>
        <v/>
      </c>
      <c r="H61" s="23" t="str">
        <f>IF($A61="","",'Процессы'!J61)</f>
        <v/>
      </c>
      <c r="I61" s="23" t="str">
        <f t="array" ref="I61">IF($A61="","",IFERROR(INDEX('Позиции'!$C$5:$C$204,MATCH('Процессы'!M61,'Позиции'!$A$5:$A$204,0)),"⚠ ID позиции"))</f>
        <v/>
      </c>
      <c r="J61" s="23" t="str">
        <f>IF($A61="","",COUNTIF('Действия'!$B$5:$B$304,$A61))</f>
        <v/>
      </c>
      <c r="K61" s="23" t="str">
        <f>IF($A61="","",COUNTIF('Переходы'!$B$5:$B$304,$A61))</f>
        <v/>
      </c>
      <c r="L61" s="23" t="str">
        <f>IF($A61="","",'Процессы'!O61)</f>
        <v/>
      </c>
      <c r="M61" s="23" t="str">
        <f>IF($A61="","",'Процессы'!P61)</f>
        <v/>
      </c>
      <c r="N61" s="23" t="str">
        <f>IF($A61="","",'Процессы'!Q61)</f>
        <v/>
      </c>
      <c r="O61" s="23" t="str">
        <f>IF($A61="","",'Процессы'!R61)</f>
        <v/>
      </c>
      <c r="P61" s="23" t="str">
        <f>IF($A61="","",'Процессы'!S61)</f>
        <v/>
      </c>
      <c r="Q61" s="23" t="str">
        <f>IF($A61="","",IF(COUNTA('Процессы'!B61,'Процессы'!E61,'Процессы'!F61,'Процессы'!H61,'Процессы'!I61,'Процессы'!J61,'Процессы'!M61,'Процессы'!O61,'Процессы'!P61,'Процессы'!R61,'Процессы'!S61)=11,"Готово","Есть пробелы"))</f>
        <v/>
      </c>
      <c r="R61" s="23" t="str">
        <f t="array" ref="R61">IF($A61="","",IFERROR(INDEX('Диаграммы'!$A$5:$A$104,MATCH($A61,'Диаграммы'!$B$5:$B$104,0)),"не настроена"))</f>
        <v/>
      </c>
      <c r="S61" s="23" t="str">
        <f t="array" ref="S61">IF(OR($A61="",$R61="не настроена"),"",IFERROR(INDEX('Диаграммы'!$M$5:$M$104,MATCH($R61,'Диаграммы'!$A$5:$A$104,0)),""))</f>
        <v/>
      </c>
      <c r="T61" s="23" t="str">
        <f t="array" ref="T61">IF(OR($A61="",$R61="не настроена"),"",IFERROR(HYPERLINK(INDEX('Диаграммы'!$O$5:$O$104,MATCH($R61,'Диаграммы'!$A$5:$A$104,0)),"открыть"),""))</f>
        <v/>
      </c>
    </row>
    <row r="62" ht="15.75" customHeight="1">
      <c r="A62" s="23" t="str">
        <f>IF('Процессы'!A62="","",'Процессы'!A62)</f>
        <v/>
      </c>
      <c r="B62" s="23" t="str">
        <f t="array" ref="B62">IF($A62="","",IFERROR(INDEX('Система'!$B$5:$B$14,MATCH('Процессы'!B62,'Система'!$A$5:$A$14,0)),"⚠ ID системы"))</f>
        <v/>
      </c>
      <c r="C62" s="23" t="str">
        <f>IF($A62="","",'Процессы'!C62)</f>
        <v/>
      </c>
      <c r="D62" s="23" t="str">
        <f>IF($A62="","",'Процессы'!E62)</f>
        <v/>
      </c>
      <c r="E62" s="23" t="str">
        <f>IF($A62="","",'Процессы'!F62)</f>
        <v/>
      </c>
      <c r="F62" s="23" t="str">
        <f>IF($A62="","",'Процессы'!H62)</f>
        <v/>
      </c>
      <c r="G62" s="23" t="str">
        <f>IF($A62="","",'Процессы'!I62)</f>
        <v/>
      </c>
      <c r="H62" s="23" t="str">
        <f>IF($A62="","",'Процессы'!J62)</f>
        <v/>
      </c>
      <c r="I62" s="23" t="str">
        <f t="array" ref="I62">IF($A62="","",IFERROR(INDEX('Позиции'!$C$5:$C$204,MATCH('Процессы'!M62,'Позиции'!$A$5:$A$204,0)),"⚠ ID позиции"))</f>
        <v/>
      </c>
      <c r="J62" s="23" t="str">
        <f>IF($A62="","",COUNTIF('Действия'!$B$5:$B$304,$A62))</f>
        <v/>
      </c>
      <c r="K62" s="23" t="str">
        <f>IF($A62="","",COUNTIF('Переходы'!$B$5:$B$304,$A62))</f>
        <v/>
      </c>
      <c r="L62" s="23" t="str">
        <f>IF($A62="","",'Процессы'!O62)</f>
        <v/>
      </c>
      <c r="M62" s="23" t="str">
        <f>IF($A62="","",'Процессы'!P62)</f>
        <v/>
      </c>
      <c r="N62" s="23" t="str">
        <f>IF($A62="","",'Процессы'!Q62)</f>
        <v/>
      </c>
      <c r="O62" s="23" t="str">
        <f>IF($A62="","",'Процессы'!R62)</f>
        <v/>
      </c>
      <c r="P62" s="23" t="str">
        <f>IF($A62="","",'Процессы'!S62)</f>
        <v/>
      </c>
      <c r="Q62" s="23" t="str">
        <f>IF($A62="","",IF(COUNTA('Процессы'!B62,'Процессы'!E62,'Процессы'!F62,'Процессы'!H62,'Процессы'!I62,'Процессы'!J62,'Процессы'!M62,'Процессы'!O62,'Процессы'!P62,'Процессы'!R62,'Процессы'!S62)=11,"Готово","Есть пробелы"))</f>
        <v/>
      </c>
      <c r="R62" s="23" t="str">
        <f t="array" ref="R62">IF($A62="","",IFERROR(INDEX('Диаграммы'!$A$5:$A$104,MATCH($A62,'Диаграммы'!$B$5:$B$104,0)),"не настроена"))</f>
        <v/>
      </c>
      <c r="S62" s="23" t="str">
        <f t="array" ref="S62">IF(OR($A62="",$R62="не настроена"),"",IFERROR(INDEX('Диаграммы'!$M$5:$M$104,MATCH($R62,'Диаграммы'!$A$5:$A$104,0)),""))</f>
        <v/>
      </c>
      <c r="T62" s="23" t="str">
        <f t="array" ref="T62">IF(OR($A62="",$R62="не настроена"),"",IFERROR(HYPERLINK(INDEX('Диаграммы'!$O$5:$O$104,MATCH($R62,'Диаграммы'!$A$5:$A$104,0)),"открыть"),""))</f>
        <v/>
      </c>
    </row>
    <row r="63" ht="15.75" customHeight="1">
      <c r="A63" s="23" t="str">
        <f>IF('Процессы'!A63="","",'Процессы'!A63)</f>
        <v/>
      </c>
      <c r="B63" s="23" t="str">
        <f t="array" ref="B63">IF($A63="","",IFERROR(INDEX('Система'!$B$5:$B$14,MATCH('Процессы'!B63,'Система'!$A$5:$A$14,0)),"⚠ ID системы"))</f>
        <v/>
      </c>
      <c r="C63" s="23" t="str">
        <f>IF($A63="","",'Процессы'!C63)</f>
        <v/>
      </c>
      <c r="D63" s="23" t="str">
        <f>IF($A63="","",'Процессы'!E63)</f>
        <v/>
      </c>
      <c r="E63" s="23" t="str">
        <f>IF($A63="","",'Процессы'!F63)</f>
        <v/>
      </c>
      <c r="F63" s="23" t="str">
        <f>IF($A63="","",'Процессы'!H63)</f>
        <v/>
      </c>
      <c r="G63" s="23" t="str">
        <f>IF($A63="","",'Процессы'!I63)</f>
        <v/>
      </c>
      <c r="H63" s="23" t="str">
        <f>IF($A63="","",'Процессы'!J63)</f>
        <v/>
      </c>
      <c r="I63" s="23" t="str">
        <f t="array" ref="I63">IF($A63="","",IFERROR(INDEX('Позиции'!$C$5:$C$204,MATCH('Процессы'!M63,'Позиции'!$A$5:$A$204,0)),"⚠ ID позиции"))</f>
        <v/>
      </c>
      <c r="J63" s="23" t="str">
        <f>IF($A63="","",COUNTIF('Действия'!$B$5:$B$304,$A63))</f>
        <v/>
      </c>
      <c r="K63" s="23" t="str">
        <f>IF($A63="","",COUNTIF('Переходы'!$B$5:$B$304,$A63))</f>
        <v/>
      </c>
      <c r="L63" s="23" t="str">
        <f>IF($A63="","",'Процессы'!O63)</f>
        <v/>
      </c>
      <c r="M63" s="23" t="str">
        <f>IF($A63="","",'Процессы'!P63)</f>
        <v/>
      </c>
      <c r="N63" s="23" t="str">
        <f>IF($A63="","",'Процессы'!Q63)</f>
        <v/>
      </c>
      <c r="O63" s="23" t="str">
        <f>IF($A63="","",'Процессы'!R63)</f>
        <v/>
      </c>
      <c r="P63" s="23" t="str">
        <f>IF($A63="","",'Процессы'!S63)</f>
        <v/>
      </c>
      <c r="Q63" s="23" t="str">
        <f>IF($A63="","",IF(COUNTA('Процессы'!B63,'Процессы'!E63,'Процессы'!F63,'Процессы'!H63,'Процессы'!I63,'Процессы'!J63,'Процессы'!M63,'Процессы'!O63,'Процессы'!P63,'Процессы'!R63,'Процессы'!S63)=11,"Готово","Есть пробелы"))</f>
        <v/>
      </c>
      <c r="R63" s="23" t="str">
        <f t="array" ref="R63">IF($A63="","",IFERROR(INDEX('Диаграммы'!$A$5:$A$104,MATCH($A63,'Диаграммы'!$B$5:$B$104,0)),"не настроена"))</f>
        <v/>
      </c>
      <c r="S63" s="23" t="str">
        <f t="array" ref="S63">IF(OR($A63="",$R63="не настроена"),"",IFERROR(INDEX('Диаграммы'!$M$5:$M$104,MATCH($R63,'Диаграммы'!$A$5:$A$104,0)),""))</f>
        <v/>
      </c>
      <c r="T63" s="23" t="str">
        <f t="array" ref="T63">IF(OR($A63="",$R63="не настроена"),"",IFERROR(HYPERLINK(INDEX('Диаграммы'!$O$5:$O$104,MATCH($R63,'Диаграммы'!$A$5:$A$104,0)),"открыть"),""))</f>
        <v/>
      </c>
    </row>
    <row r="64" ht="15.75" customHeight="1">
      <c r="A64" s="23" t="str">
        <f>IF('Процессы'!A64="","",'Процессы'!A64)</f>
        <v/>
      </c>
      <c r="B64" s="23" t="str">
        <f t="array" ref="B64">IF($A64="","",IFERROR(INDEX('Система'!$B$5:$B$14,MATCH('Процессы'!B64,'Система'!$A$5:$A$14,0)),"⚠ ID системы"))</f>
        <v/>
      </c>
      <c r="C64" s="23" t="str">
        <f>IF($A64="","",'Процессы'!C64)</f>
        <v/>
      </c>
      <c r="D64" s="23" t="str">
        <f>IF($A64="","",'Процессы'!E64)</f>
        <v/>
      </c>
      <c r="E64" s="23" t="str">
        <f>IF($A64="","",'Процессы'!F64)</f>
        <v/>
      </c>
      <c r="F64" s="23" t="str">
        <f>IF($A64="","",'Процессы'!H64)</f>
        <v/>
      </c>
      <c r="G64" s="23" t="str">
        <f>IF($A64="","",'Процессы'!I64)</f>
        <v/>
      </c>
      <c r="H64" s="23" t="str">
        <f>IF($A64="","",'Процессы'!J64)</f>
        <v/>
      </c>
      <c r="I64" s="23" t="str">
        <f t="array" ref="I64">IF($A64="","",IFERROR(INDEX('Позиции'!$C$5:$C$204,MATCH('Процессы'!M64,'Позиции'!$A$5:$A$204,0)),"⚠ ID позиции"))</f>
        <v/>
      </c>
      <c r="J64" s="23" t="str">
        <f>IF($A64="","",COUNTIF('Действия'!$B$5:$B$304,$A64))</f>
        <v/>
      </c>
      <c r="K64" s="23" t="str">
        <f>IF($A64="","",COUNTIF('Переходы'!$B$5:$B$304,$A64))</f>
        <v/>
      </c>
      <c r="L64" s="23" t="str">
        <f>IF($A64="","",'Процессы'!O64)</f>
        <v/>
      </c>
      <c r="M64" s="23" t="str">
        <f>IF($A64="","",'Процессы'!P64)</f>
        <v/>
      </c>
      <c r="N64" s="23" t="str">
        <f>IF($A64="","",'Процессы'!Q64)</f>
        <v/>
      </c>
      <c r="O64" s="23" t="str">
        <f>IF($A64="","",'Процессы'!R64)</f>
        <v/>
      </c>
      <c r="P64" s="23" t="str">
        <f>IF($A64="","",'Процессы'!S64)</f>
        <v/>
      </c>
      <c r="Q64" s="23" t="str">
        <f>IF($A64="","",IF(COUNTA('Процессы'!B64,'Процессы'!E64,'Процессы'!F64,'Процессы'!H64,'Процессы'!I64,'Процессы'!J64,'Процессы'!M64,'Процессы'!O64,'Процессы'!P64,'Процессы'!R64,'Процессы'!S64)=11,"Готово","Есть пробелы"))</f>
        <v/>
      </c>
      <c r="R64" s="23" t="str">
        <f t="array" ref="R64">IF($A64="","",IFERROR(INDEX('Диаграммы'!$A$5:$A$104,MATCH($A64,'Диаграммы'!$B$5:$B$104,0)),"не настроена"))</f>
        <v/>
      </c>
      <c r="S64" s="23" t="str">
        <f t="array" ref="S64">IF(OR($A64="",$R64="не настроена"),"",IFERROR(INDEX('Диаграммы'!$M$5:$M$104,MATCH($R64,'Диаграммы'!$A$5:$A$104,0)),""))</f>
        <v/>
      </c>
      <c r="T64" s="23" t="str">
        <f t="array" ref="T64">IF(OR($A64="",$R64="не настроена"),"",IFERROR(HYPERLINK(INDEX('Диаграммы'!$O$5:$O$104,MATCH($R64,'Диаграммы'!$A$5:$A$104,0)),"открыть"),""))</f>
        <v/>
      </c>
    </row>
    <row r="65" ht="15.75" customHeight="1">
      <c r="A65" s="23" t="str">
        <f>IF('Процессы'!A65="","",'Процессы'!A65)</f>
        <v/>
      </c>
      <c r="B65" s="23" t="str">
        <f t="array" ref="B65">IF($A65="","",IFERROR(INDEX('Система'!$B$5:$B$14,MATCH('Процессы'!B65,'Система'!$A$5:$A$14,0)),"⚠ ID системы"))</f>
        <v/>
      </c>
      <c r="C65" s="23" t="str">
        <f>IF($A65="","",'Процессы'!C65)</f>
        <v/>
      </c>
      <c r="D65" s="23" t="str">
        <f>IF($A65="","",'Процессы'!E65)</f>
        <v/>
      </c>
      <c r="E65" s="23" t="str">
        <f>IF($A65="","",'Процессы'!F65)</f>
        <v/>
      </c>
      <c r="F65" s="23" t="str">
        <f>IF($A65="","",'Процессы'!H65)</f>
        <v/>
      </c>
      <c r="G65" s="23" t="str">
        <f>IF($A65="","",'Процессы'!I65)</f>
        <v/>
      </c>
      <c r="H65" s="23" t="str">
        <f>IF($A65="","",'Процессы'!J65)</f>
        <v/>
      </c>
      <c r="I65" s="23" t="str">
        <f t="array" ref="I65">IF($A65="","",IFERROR(INDEX('Позиции'!$C$5:$C$204,MATCH('Процессы'!M65,'Позиции'!$A$5:$A$204,0)),"⚠ ID позиции"))</f>
        <v/>
      </c>
      <c r="J65" s="23" t="str">
        <f>IF($A65="","",COUNTIF('Действия'!$B$5:$B$304,$A65))</f>
        <v/>
      </c>
      <c r="K65" s="23" t="str">
        <f>IF($A65="","",COUNTIF('Переходы'!$B$5:$B$304,$A65))</f>
        <v/>
      </c>
      <c r="L65" s="23" t="str">
        <f>IF($A65="","",'Процессы'!O65)</f>
        <v/>
      </c>
      <c r="M65" s="23" t="str">
        <f>IF($A65="","",'Процессы'!P65)</f>
        <v/>
      </c>
      <c r="N65" s="23" t="str">
        <f>IF($A65="","",'Процессы'!Q65)</f>
        <v/>
      </c>
      <c r="O65" s="23" t="str">
        <f>IF($A65="","",'Процессы'!R65)</f>
        <v/>
      </c>
      <c r="P65" s="23" t="str">
        <f>IF($A65="","",'Процессы'!S65)</f>
        <v/>
      </c>
      <c r="Q65" s="23" t="str">
        <f>IF($A65="","",IF(COUNTA('Процессы'!B65,'Процессы'!E65,'Процессы'!F65,'Процессы'!H65,'Процессы'!I65,'Процессы'!J65,'Процессы'!M65,'Процессы'!O65,'Процессы'!P65,'Процессы'!R65,'Процессы'!S65)=11,"Готово","Есть пробелы"))</f>
        <v/>
      </c>
      <c r="R65" s="23" t="str">
        <f t="array" ref="R65">IF($A65="","",IFERROR(INDEX('Диаграммы'!$A$5:$A$104,MATCH($A65,'Диаграммы'!$B$5:$B$104,0)),"не настроена"))</f>
        <v/>
      </c>
      <c r="S65" s="23" t="str">
        <f t="array" ref="S65">IF(OR($A65="",$R65="не настроена"),"",IFERROR(INDEX('Диаграммы'!$M$5:$M$104,MATCH($R65,'Диаграммы'!$A$5:$A$104,0)),""))</f>
        <v/>
      </c>
      <c r="T65" s="23" t="str">
        <f t="array" ref="T65">IF(OR($A65="",$R65="не настроена"),"",IFERROR(HYPERLINK(INDEX('Диаграммы'!$O$5:$O$104,MATCH($R65,'Диаграммы'!$A$5:$A$104,0)),"открыть"),""))</f>
        <v/>
      </c>
    </row>
    <row r="66" ht="15.75" customHeight="1">
      <c r="A66" s="23" t="str">
        <f>IF('Процессы'!A66="","",'Процессы'!A66)</f>
        <v/>
      </c>
      <c r="B66" s="23" t="str">
        <f t="array" ref="B66">IF($A66="","",IFERROR(INDEX('Система'!$B$5:$B$14,MATCH('Процессы'!B66,'Система'!$A$5:$A$14,0)),"⚠ ID системы"))</f>
        <v/>
      </c>
      <c r="C66" s="23" t="str">
        <f>IF($A66="","",'Процессы'!C66)</f>
        <v/>
      </c>
      <c r="D66" s="23" t="str">
        <f>IF($A66="","",'Процессы'!E66)</f>
        <v/>
      </c>
      <c r="E66" s="23" t="str">
        <f>IF($A66="","",'Процессы'!F66)</f>
        <v/>
      </c>
      <c r="F66" s="23" t="str">
        <f>IF($A66="","",'Процессы'!H66)</f>
        <v/>
      </c>
      <c r="G66" s="23" t="str">
        <f>IF($A66="","",'Процессы'!I66)</f>
        <v/>
      </c>
      <c r="H66" s="23" t="str">
        <f>IF($A66="","",'Процессы'!J66)</f>
        <v/>
      </c>
      <c r="I66" s="23" t="str">
        <f t="array" ref="I66">IF($A66="","",IFERROR(INDEX('Позиции'!$C$5:$C$204,MATCH('Процессы'!M66,'Позиции'!$A$5:$A$204,0)),"⚠ ID позиции"))</f>
        <v/>
      </c>
      <c r="J66" s="23" t="str">
        <f>IF($A66="","",COUNTIF('Действия'!$B$5:$B$304,$A66))</f>
        <v/>
      </c>
      <c r="K66" s="23" t="str">
        <f>IF($A66="","",COUNTIF('Переходы'!$B$5:$B$304,$A66))</f>
        <v/>
      </c>
      <c r="L66" s="23" t="str">
        <f>IF($A66="","",'Процессы'!O66)</f>
        <v/>
      </c>
      <c r="M66" s="23" t="str">
        <f>IF($A66="","",'Процессы'!P66)</f>
        <v/>
      </c>
      <c r="N66" s="23" t="str">
        <f>IF($A66="","",'Процессы'!Q66)</f>
        <v/>
      </c>
      <c r="O66" s="23" t="str">
        <f>IF($A66="","",'Процессы'!R66)</f>
        <v/>
      </c>
      <c r="P66" s="23" t="str">
        <f>IF($A66="","",'Процессы'!S66)</f>
        <v/>
      </c>
      <c r="Q66" s="23" t="str">
        <f>IF($A66="","",IF(COUNTA('Процессы'!B66,'Процессы'!E66,'Процессы'!F66,'Процессы'!H66,'Процессы'!I66,'Процессы'!J66,'Процессы'!M66,'Процессы'!O66,'Процессы'!P66,'Процессы'!R66,'Процессы'!S66)=11,"Готово","Есть пробелы"))</f>
        <v/>
      </c>
      <c r="R66" s="23" t="str">
        <f t="array" ref="R66">IF($A66="","",IFERROR(INDEX('Диаграммы'!$A$5:$A$104,MATCH($A66,'Диаграммы'!$B$5:$B$104,0)),"не настроена"))</f>
        <v/>
      </c>
      <c r="S66" s="23" t="str">
        <f t="array" ref="S66">IF(OR($A66="",$R66="не настроена"),"",IFERROR(INDEX('Диаграммы'!$M$5:$M$104,MATCH($R66,'Диаграммы'!$A$5:$A$104,0)),""))</f>
        <v/>
      </c>
      <c r="T66" s="23" t="str">
        <f t="array" ref="T66">IF(OR($A66="",$R66="не настроена"),"",IFERROR(HYPERLINK(INDEX('Диаграммы'!$O$5:$O$104,MATCH($R66,'Диаграммы'!$A$5:$A$104,0)),"открыть"),""))</f>
        <v/>
      </c>
    </row>
    <row r="67" ht="15.75" customHeight="1">
      <c r="A67" s="23" t="str">
        <f>IF('Процессы'!A67="","",'Процессы'!A67)</f>
        <v/>
      </c>
      <c r="B67" s="23" t="str">
        <f t="array" ref="B67">IF($A67="","",IFERROR(INDEX('Система'!$B$5:$B$14,MATCH('Процессы'!B67,'Система'!$A$5:$A$14,0)),"⚠ ID системы"))</f>
        <v/>
      </c>
      <c r="C67" s="23" t="str">
        <f>IF($A67="","",'Процессы'!C67)</f>
        <v/>
      </c>
      <c r="D67" s="23" t="str">
        <f>IF($A67="","",'Процессы'!E67)</f>
        <v/>
      </c>
      <c r="E67" s="23" t="str">
        <f>IF($A67="","",'Процессы'!F67)</f>
        <v/>
      </c>
      <c r="F67" s="23" t="str">
        <f>IF($A67="","",'Процессы'!H67)</f>
        <v/>
      </c>
      <c r="G67" s="23" t="str">
        <f>IF($A67="","",'Процессы'!I67)</f>
        <v/>
      </c>
      <c r="H67" s="23" t="str">
        <f>IF($A67="","",'Процессы'!J67)</f>
        <v/>
      </c>
      <c r="I67" s="23" t="str">
        <f t="array" ref="I67">IF($A67="","",IFERROR(INDEX('Позиции'!$C$5:$C$204,MATCH('Процессы'!M67,'Позиции'!$A$5:$A$204,0)),"⚠ ID позиции"))</f>
        <v/>
      </c>
      <c r="J67" s="23" t="str">
        <f>IF($A67="","",COUNTIF('Действия'!$B$5:$B$304,$A67))</f>
        <v/>
      </c>
      <c r="K67" s="23" t="str">
        <f>IF($A67="","",COUNTIF('Переходы'!$B$5:$B$304,$A67))</f>
        <v/>
      </c>
      <c r="L67" s="23" t="str">
        <f>IF($A67="","",'Процессы'!O67)</f>
        <v/>
      </c>
      <c r="M67" s="23" t="str">
        <f>IF($A67="","",'Процессы'!P67)</f>
        <v/>
      </c>
      <c r="N67" s="23" t="str">
        <f>IF($A67="","",'Процессы'!Q67)</f>
        <v/>
      </c>
      <c r="O67" s="23" t="str">
        <f>IF($A67="","",'Процессы'!R67)</f>
        <v/>
      </c>
      <c r="P67" s="23" t="str">
        <f>IF($A67="","",'Процессы'!S67)</f>
        <v/>
      </c>
      <c r="Q67" s="23" t="str">
        <f>IF($A67="","",IF(COUNTA('Процессы'!B67,'Процессы'!E67,'Процессы'!F67,'Процессы'!H67,'Процессы'!I67,'Процессы'!J67,'Процессы'!M67,'Процессы'!O67,'Процессы'!P67,'Процессы'!R67,'Процессы'!S67)=11,"Готово","Есть пробелы"))</f>
        <v/>
      </c>
      <c r="R67" s="23" t="str">
        <f t="array" ref="R67">IF($A67="","",IFERROR(INDEX('Диаграммы'!$A$5:$A$104,MATCH($A67,'Диаграммы'!$B$5:$B$104,0)),"не настроена"))</f>
        <v/>
      </c>
      <c r="S67" s="23" t="str">
        <f t="array" ref="S67">IF(OR($A67="",$R67="не настроена"),"",IFERROR(INDEX('Диаграммы'!$M$5:$M$104,MATCH($R67,'Диаграммы'!$A$5:$A$104,0)),""))</f>
        <v/>
      </c>
      <c r="T67" s="23" t="str">
        <f t="array" ref="T67">IF(OR($A67="",$R67="не настроена"),"",IFERROR(HYPERLINK(INDEX('Диаграммы'!$O$5:$O$104,MATCH($R67,'Диаграммы'!$A$5:$A$104,0)),"открыть"),""))</f>
        <v/>
      </c>
    </row>
    <row r="68" ht="15.75" customHeight="1">
      <c r="A68" s="23" t="str">
        <f>IF('Процессы'!A68="","",'Процессы'!A68)</f>
        <v/>
      </c>
      <c r="B68" s="23" t="str">
        <f t="array" ref="B68">IF($A68="","",IFERROR(INDEX('Система'!$B$5:$B$14,MATCH('Процессы'!B68,'Система'!$A$5:$A$14,0)),"⚠ ID системы"))</f>
        <v/>
      </c>
      <c r="C68" s="23" t="str">
        <f>IF($A68="","",'Процессы'!C68)</f>
        <v/>
      </c>
      <c r="D68" s="23" t="str">
        <f>IF($A68="","",'Процессы'!E68)</f>
        <v/>
      </c>
      <c r="E68" s="23" t="str">
        <f>IF($A68="","",'Процессы'!F68)</f>
        <v/>
      </c>
      <c r="F68" s="23" t="str">
        <f>IF($A68="","",'Процессы'!H68)</f>
        <v/>
      </c>
      <c r="G68" s="23" t="str">
        <f>IF($A68="","",'Процессы'!I68)</f>
        <v/>
      </c>
      <c r="H68" s="23" t="str">
        <f>IF($A68="","",'Процессы'!J68)</f>
        <v/>
      </c>
      <c r="I68" s="23" t="str">
        <f t="array" ref="I68">IF($A68="","",IFERROR(INDEX('Позиции'!$C$5:$C$204,MATCH('Процессы'!M68,'Позиции'!$A$5:$A$204,0)),"⚠ ID позиции"))</f>
        <v/>
      </c>
      <c r="J68" s="23" t="str">
        <f>IF($A68="","",COUNTIF('Действия'!$B$5:$B$304,$A68))</f>
        <v/>
      </c>
      <c r="K68" s="23" t="str">
        <f>IF($A68="","",COUNTIF('Переходы'!$B$5:$B$304,$A68))</f>
        <v/>
      </c>
      <c r="L68" s="23" t="str">
        <f>IF($A68="","",'Процессы'!O68)</f>
        <v/>
      </c>
      <c r="M68" s="23" t="str">
        <f>IF($A68="","",'Процессы'!P68)</f>
        <v/>
      </c>
      <c r="N68" s="23" t="str">
        <f>IF($A68="","",'Процессы'!Q68)</f>
        <v/>
      </c>
      <c r="O68" s="23" t="str">
        <f>IF($A68="","",'Процессы'!R68)</f>
        <v/>
      </c>
      <c r="P68" s="23" t="str">
        <f>IF($A68="","",'Процессы'!S68)</f>
        <v/>
      </c>
      <c r="Q68" s="23" t="str">
        <f>IF($A68="","",IF(COUNTA('Процессы'!B68,'Процессы'!E68,'Процессы'!F68,'Процессы'!H68,'Процессы'!I68,'Процессы'!J68,'Процессы'!M68,'Процессы'!O68,'Процессы'!P68,'Процессы'!R68,'Процессы'!S68)=11,"Готово","Есть пробелы"))</f>
        <v/>
      </c>
      <c r="R68" s="23" t="str">
        <f t="array" ref="R68">IF($A68="","",IFERROR(INDEX('Диаграммы'!$A$5:$A$104,MATCH($A68,'Диаграммы'!$B$5:$B$104,0)),"не настроена"))</f>
        <v/>
      </c>
      <c r="S68" s="23" t="str">
        <f t="array" ref="S68">IF(OR($A68="",$R68="не настроена"),"",IFERROR(INDEX('Диаграммы'!$M$5:$M$104,MATCH($R68,'Диаграммы'!$A$5:$A$104,0)),""))</f>
        <v/>
      </c>
      <c r="T68" s="23" t="str">
        <f t="array" ref="T68">IF(OR($A68="",$R68="не настроена"),"",IFERROR(HYPERLINK(INDEX('Диаграммы'!$O$5:$O$104,MATCH($R68,'Диаграммы'!$A$5:$A$104,0)),"открыть"),""))</f>
        <v/>
      </c>
    </row>
    <row r="69" ht="15.75" customHeight="1">
      <c r="A69" s="23" t="str">
        <f>IF('Процессы'!A69="","",'Процессы'!A69)</f>
        <v/>
      </c>
      <c r="B69" s="23" t="str">
        <f t="array" ref="B69">IF($A69="","",IFERROR(INDEX('Система'!$B$5:$B$14,MATCH('Процессы'!B69,'Система'!$A$5:$A$14,0)),"⚠ ID системы"))</f>
        <v/>
      </c>
      <c r="C69" s="23" t="str">
        <f>IF($A69="","",'Процессы'!C69)</f>
        <v/>
      </c>
      <c r="D69" s="23" t="str">
        <f>IF($A69="","",'Процессы'!E69)</f>
        <v/>
      </c>
      <c r="E69" s="23" t="str">
        <f>IF($A69="","",'Процессы'!F69)</f>
        <v/>
      </c>
      <c r="F69" s="23" t="str">
        <f>IF($A69="","",'Процессы'!H69)</f>
        <v/>
      </c>
      <c r="G69" s="23" t="str">
        <f>IF($A69="","",'Процессы'!I69)</f>
        <v/>
      </c>
      <c r="H69" s="23" t="str">
        <f>IF($A69="","",'Процессы'!J69)</f>
        <v/>
      </c>
      <c r="I69" s="23" t="str">
        <f t="array" ref="I69">IF($A69="","",IFERROR(INDEX('Позиции'!$C$5:$C$204,MATCH('Процессы'!M69,'Позиции'!$A$5:$A$204,0)),"⚠ ID позиции"))</f>
        <v/>
      </c>
      <c r="J69" s="23" t="str">
        <f>IF($A69="","",COUNTIF('Действия'!$B$5:$B$304,$A69))</f>
        <v/>
      </c>
      <c r="K69" s="23" t="str">
        <f>IF($A69="","",COUNTIF('Переходы'!$B$5:$B$304,$A69))</f>
        <v/>
      </c>
      <c r="L69" s="23" t="str">
        <f>IF($A69="","",'Процессы'!O69)</f>
        <v/>
      </c>
      <c r="M69" s="23" t="str">
        <f>IF($A69="","",'Процессы'!P69)</f>
        <v/>
      </c>
      <c r="N69" s="23" t="str">
        <f>IF($A69="","",'Процессы'!Q69)</f>
        <v/>
      </c>
      <c r="O69" s="23" t="str">
        <f>IF($A69="","",'Процессы'!R69)</f>
        <v/>
      </c>
      <c r="P69" s="23" t="str">
        <f>IF($A69="","",'Процессы'!S69)</f>
        <v/>
      </c>
      <c r="Q69" s="23" t="str">
        <f>IF($A69="","",IF(COUNTA('Процессы'!B69,'Процессы'!E69,'Процессы'!F69,'Процессы'!H69,'Процессы'!I69,'Процессы'!J69,'Процессы'!M69,'Процессы'!O69,'Процессы'!P69,'Процессы'!R69,'Процессы'!S69)=11,"Готово","Есть пробелы"))</f>
        <v/>
      </c>
      <c r="R69" s="23" t="str">
        <f t="array" ref="R69">IF($A69="","",IFERROR(INDEX('Диаграммы'!$A$5:$A$104,MATCH($A69,'Диаграммы'!$B$5:$B$104,0)),"не настроена"))</f>
        <v/>
      </c>
      <c r="S69" s="23" t="str">
        <f t="array" ref="S69">IF(OR($A69="",$R69="не настроена"),"",IFERROR(INDEX('Диаграммы'!$M$5:$M$104,MATCH($R69,'Диаграммы'!$A$5:$A$104,0)),""))</f>
        <v/>
      </c>
      <c r="T69" s="23" t="str">
        <f t="array" ref="T69">IF(OR($A69="",$R69="не настроена"),"",IFERROR(HYPERLINK(INDEX('Диаграммы'!$O$5:$O$104,MATCH($R69,'Диаграммы'!$A$5:$A$104,0)),"открыть"),""))</f>
        <v/>
      </c>
    </row>
    <row r="70" ht="15.75" customHeight="1">
      <c r="A70" s="23" t="str">
        <f>IF('Процессы'!A70="","",'Процессы'!A70)</f>
        <v/>
      </c>
      <c r="B70" s="23" t="str">
        <f t="array" ref="B70">IF($A70="","",IFERROR(INDEX('Система'!$B$5:$B$14,MATCH('Процессы'!B70,'Система'!$A$5:$A$14,0)),"⚠ ID системы"))</f>
        <v/>
      </c>
      <c r="C70" s="23" t="str">
        <f>IF($A70="","",'Процессы'!C70)</f>
        <v/>
      </c>
      <c r="D70" s="23" t="str">
        <f>IF($A70="","",'Процессы'!E70)</f>
        <v/>
      </c>
      <c r="E70" s="23" t="str">
        <f>IF($A70="","",'Процессы'!F70)</f>
        <v/>
      </c>
      <c r="F70" s="23" t="str">
        <f>IF($A70="","",'Процессы'!H70)</f>
        <v/>
      </c>
      <c r="G70" s="23" t="str">
        <f>IF($A70="","",'Процессы'!I70)</f>
        <v/>
      </c>
      <c r="H70" s="23" t="str">
        <f>IF($A70="","",'Процессы'!J70)</f>
        <v/>
      </c>
      <c r="I70" s="23" t="str">
        <f t="array" ref="I70">IF($A70="","",IFERROR(INDEX('Позиции'!$C$5:$C$204,MATCH('Процессы'!M70,'Позиции'!$A$5:$A$204,0)),"⚠ ID позиции"))</f>
        <v/>
      </c>
      <c r="J70" s="23" t="str">
        <f>IF($A70="","",COUNTIF('Действия'!$B$5:$B$304,$A70))</f>
        <v/>
      </c>
      <c r="K70" s="23" t="str">
        <f>IF($A70="","",COUNTIF('Переходы'!$B$5:$B$304,$A70))</f>
        <v/>
      </c>
      <c r="L70" s="23" t="str">
        <f>IF($A70="","",'Процессы'!O70)</f>
        <v/>
      </c>
      <c r="M70" s="23" t="str">
        <f>IF($A70="","",'Процессы'!P70)</f>
        <v/>
      </c>
      <c r="N70" s="23" t="str">
        <f>IF($A70="","",'Процессы'!Q70)</f>
        <v/>
      </c>
      <c r="O70" s="23" t="str">
        <f>IF($A70="","",'Процессы'!R70)</f>
        <v/>
      </c>
      <c r="P70" s="23" t="str">
        <f>IF($A70="","",'Процессы'!S70)</f>
        <v/>
      </c>
      <c r="Q70" s="23" t="str">
        <f>IF($A70="","",IF(COUNTA('Процессы'!B70,'Процессы'!E70,'Процессы'!F70,'Процессы'!H70,'Процессы'!I70,'Процессы'!J70,'Процессы'!M70,'Процессы'!O70,'Процессы'!P70,'Процессы'!R70,'Процессы'!S70)=11,"Готово","Есть пробелы"))</f>
        <v/>
      </c>
      <c r="R70" s="23" t="str">
        <f t="array" ref="R70">IF($A70="","",IFERROR(INDEX('Диаграммы'!$A$5:$A$104,MATCH($A70,'Диаграммы'!$B$5:$B$104,0)),"не настроена"))</f>
        <v/>
      </c>
      <c r="S70" s="23" t="str">
        <f t="array" ref="S70">IF(OR($A70="",$R70="не настроена"),"",IFERROR(INDEX('Диаграммы'!$M$5:$M$104,MATCH($R70,'Диаграммы'!$A$5:$A$104,0)),""))</f>
        <v/>
      </c>
      <c r="T70" s="23" t="str">
        <f t="array" ref="T70">IF(OR($A70="",$R70="не настроена"),"",IFERROR(HYPERLINK(INDEX('Диаграммы'!$O$5:$O$104,MATCH($R70,'Диаграммы'!$A$5:$A$104,0)),"открыть"),""))</f>
        <v/>
      </c>
    </row>
    <row r="71" ht="15.75" customHeight="1">
      <c r="A71" s="23" t="str">
        <f>IF('Процессы'!A71="","",'Процессы'!A71)</f>
        <v/>
      </c>
      <c r="B71" s="23" t="str">
        <f t="array" ref="B71">IF($A71="","",IFERROR(INDEX('Система'!$B$5:$B$14,MATCH('Процессы'!B71,'Система'!$A$5:$A$14,0)),"⚠ ID системы"))</f>
        <v/>
      </c>
      <c r="C71" s="23" t="str">
        <f>IF($A71="","",'Процессы'!C71)</f>
        <v/>
      </c>
      <c r="D71" s="23" t="str">
        <f>IF($A71="","",'Процессы'!E71)</f>
        <v/>
      </c>
      <c r="E71" s="23" t="str">
        <f>IF($A71="","",'Процессы'!F71)</f>
        <v/>
      </c>
      <c r="F71" s="23" t="str">
        <f>IF($A71="","",'Процессы'!H71)</f>
        <v/>
      </c>
      <c r="G71" s="23" t="str">
        <f>IF($A71="","",'Процессы'!I71)</f>
        <v/>
      </c>
      <c r="H71" s="23" t="str">
        <f>IF($A71="","",'Процессы'!J71)</f>
        <v/>
      </c>
      <c r="I71" s="23" t="str">
        <f t="array" ref="I71">IF($A71="","",IFERROR(INDEX('Позиции'!$C$5:$C$204,MATCH('Процессы'!M71,'Позиции'!$A$5:$A$204,0)),"⚠ ID позиции"))</f>
        <v/>
      </c>
      <c r="J71" s="23" t="str">
        <f>IF($A71="","",COUNTIF('Действия'!$B$5:$B$304,$A71))</f>
        <v/>
      </c>
      <c r="K71" s="23" t="str">
        <f>IF($A71="","",COUNTIF('Переходы'!$B$5:$B$304,$A71))</f>
        <v/>
      </c>
      <c r="L71" s="23" t="str">
        <f>IF($A71="","",'Процессы'!O71)</f>
        <v/>
      </c>
      <c r="M71" s="23" t="str">
        <f>IF($A71="","",'Процессы'!P71)</f>
        <v/>
      </c>
      <c r="N71" s="23" t="str">
        <f>IF($A71="","",'Процессы'!Q71)</f>
        <v/>
      </c>
      <c r="O71" s="23" t="str">
        <f>IF($A71="","",'Процессы'!R71)</f>
        <v/>
      </c>
      <c r="P71" s="23" t="str">
        <f>IF($A71="","",'Процессы'!S71)</f>
        <v/>
      </c>
      <c r="Q71" s="23" t="str">
        <f>IF($A71="","",IF(COUNTA('Процессы'!B71,'Процессы'!E71,'Процессы'!F71,'Процессы'!H71,'Процессы'!I71,'Процессы'!J71,'Процессы'!M71,'Процессы'!O71,'Процессы'!P71,'Процессы'!R71,'Процессы'!S71)=11,"Готово","Есть пробелы"))</f>
        <v/>
      </c>
      <c r="R71" s="23" t="str">
        <f t="array" ref="R71">IF($A71="","",IFERROR(INDEX('Диаграммы'!$A$5:$A$104,MATCH($A71,'Диаграммы'!$B$5:$B$104,0)),"не настроена"))</f>
        <v/>
      </c>
      <c r="S71" s="23" t="str">
        <f t="array" ref="S71">IF(OR($A71="",$R71="не настроена"),"",IFERROR(INDEX('Диаграммы'!$M$5:$M$104,MATCH($R71,'Диаграммы'!$A$5:$A$104,0)),""))</f>
        <v/>
      </c>
      <c r="T71" s="23" t="str">
        <f t="array" ref="T71">IF(OR($A71="",$R71="не настроена"),"",IFERROR(HYPERLINK(INDEX('Диаграммы'!$O$5:$O$104,MATCH($R71,'Диаграммы'!$A$5:$A$104,0)),"открыть"),""))</f>
        <v/>
      </c>
    </row>
    <row r="72" ht="15.75" customHeight="1">
      <c r="A72" s="23" t="str">
        <f>IF('Процессы'!A72="","",'Процессы'!A72)</f>
        <v/>
      </c>
      <c r="B72" s="23" t="str">
        <f t="array" ref="B72">IF($A72="","",IFERROR(INDEX('Система'!$B$5:$B$14,MATCH('Процессы'!B72,'Система'!$A$5:$A$14,0)),"⚠ ID системы"))</f>
        <v/>
      </c>
      <c r="C72" s="23" t="str">
        <f>IF($A72="","",'Процессы'!C72)</f>
        <v/>
      </c>
      <c r="D72" s="23" t="str">
        <f>IF($A72="","",'Процессы'!E72)</f>
        <v/>
      </c>
      <c r="E72" s="23" t="str">
        <f>IF($A72="","",'Процессы'!F72)</f>
        <v/>
      </c>
      <c r="F72" s="23" t="str">
        <f>IF($A72="","",'Процессы'!H72)</f>
        <v/>
      </c>
      <c r="G72" s="23" t="str">
        <f>IF($A72="","",'Процессы'!I72)</f>
        <v/>
      </c>
      <c r="H72" s="23" t="str">
        <f>IF($A72="","",'Процессы'!J72)</f>
        <v/>
      </c>
      <c r="I72" s="23" t="str">
        <f t="array" ref="I72">IF($A72="","",IFERROR(INDEX('Позиции'!$C$5:$C$204,MATCH('Процессы'!M72,'Позиции'!$A$5:$A$204,0)),"⚠ ID позиции"))</f>
        <v/>
      </c>
      <c r="J72" s="23" t="str">
        <f>IF($A72="","",COUNTIF('Действия'!$B$5:$B$304,$A72))</f>
        <v/>
      </c>
      <c r="K72" s="23" t="str">
        <f>IF($A72="","",COUNTIF('Переходы'!$B$5:$B$304,$A72))</f>
        <v/>
      </c>
      <c r="L72" s="23" t="str">
        <f>IF($A72="","",'Процессы'!O72)</f>
        <v/>
      </c>
      <c r="M72" s="23" t="str">
        <f>IF($A72="","",'Процессы'!P72)</f>
        <v/>
      </c>
      <c r="N72" s="23" t="str">
        <f>IF($A72="","",'Процессы'!Q72)</f>
        <v/>
      </c>
      <c r="O72" s="23" t="str">
        <f>IF($A72="","",'Процессы'!R72)</f>
        <v/>
      </c>
      <c r="P72" s="23" t="str">
        <f>IF($A72="","",'Процессы'!S72)</f>
        <v/>
      </c>
      <c r="Q72" s="23" t="str">
        <f>IF($A72="","",IF(COUNTA('Процессы'!B72,'Процессы'!E72,'Процессы'!F72,'Процессы'!H72,'Процессы'!I72,'Процессы'!J72,'Процессы'!M72,'Процессы'!O72,'Процессы'!P72,'Процессы'!R72,'Процессы'!S72)=11,"Готово","Есть пробелы"))</f>
        <v/>
      </c>
      <c r="R72" s="23" t="str">
        <f t="array" ref="R72">IF($A72="","",IFERROR(INDEX('Диаграммы'!$A$5:$A$104,MATCH($A72,'Диаграммы'!$B$5:$B$104,0)),"не настроена"))</f>
        <v/>
      </c>
      <c r="S72" s="23" t="str">
        <f t="array" ref="S72">IF(OR($A72="",$R72="не настроена"),"",IFERROR(INDEX('Диаграммы'!$M$5:$M$104,MATCH($R72,'Диаграммы'!$A$5:$A$104,0)),""))</f>
        <v/>
      </c>
      <c r="T72" s="23" t="str">
        <f t="array" ref="T72">IF(OR($A72="",$R72="не настроена"),"",IFERROR(HYPERLINK(INDEX('Диаграммы'!$O$5:$O$104,MATCH($R72,'Диаграммы'!$A$5:$A$104,0)),"открыть"),""))</f>
        <v/>
      </c>
    </row>
    <row r="73" ht="15.75" customHeight="1">
      <c r="A73" s="23" t="str">
        <f>IF('Процессы'!A73="","",'Процессы'!A73)</f>
        <v/>
      </c>
      <c r="B73" s="23" t="str">
        <f t="array" ref="B73">IF($A73="","",IFERROR(INDEX('Система'!$B$5:$B$14,MATCH('Процессы'!B73,'Система'!$A$5:$A$14,0)),"⚠ ID системы"))</f>
        <v/>
      </c>
      <c r="C73" s="23" t="str">
        <f>IF($A73="","",'Процессы'!C73)</f>
        <v/>
      </c>
      <c r="D73" s="23" t="str">
        <f>IF($A73="","",'Процессы'!E73)</f>
        <v/>
      </c>
      <c r="E73" s="23" t="str">
        <f>IF($A73="","",'Процессы'!F73)</f>
        <v/>
      </c>
      <c r="F73" s="23" t="str">
        <f>IF($A73="","",'Процессы'!H73)</f>
        <v/>
      </c>
      <c r="G73" s="23" t="str">
        <f>IF($A73="","",'Процессы'!I73)</f>
        <v/>
      </c>
      <c r="H73" s="23" t="str">
        <f>IF($A73="","",'Процессы'!J73)</f>
        <v/>
      </c>
      <c r="I73" s="23" t="str">
        <f t="array" ref="I73">IF($A73="","",IFERROR(INDEX('Позиции'!$C$5:$C$204,MATCH('Процессы'!M73,'Позиции'!$A$5:$A$204,0)),"⚠ ID позиции"))</f>
        <v/>
      </c>
      <c r="J73" s="23" t="str">
        <f>IF($A73="","",COUNTIF('Действия'!$B$5:$B$304,$A73))</f>
        <v/>
      </c>
      <c r="K73" s="23" t="str">
        <f>IF($A73="","",COUNTIF('Переходы'!$B$5:$B$304,$A73))</f>
        <v/>
      </c>
      <c r="L73" s="23" t="str">
        <f>IF($A73="","",'Процессы'!O73)</f>
        <v/>
      </c>
      <c r="M73" s="23" t="str">
        <f>IF($A73="","",'Процессы'!P73)</f>
        <v/>
      </c>
      <c r="N73" s="23" t="str">
        <f>IF($A73="","",'Процессы'!Q73)</f>
        <v/>
      </c>
      <c r="O73" s="23" t="str">
        <f>IF($A73="","",'Процессы'!R73)</f>
        <v/>
      </c>
      <c r="P73" s="23" t="str">
        <f>IF($A73="","",'Процессы'!S73)</f>
        <v/>
      </c>
      <c r="Q73" s="23" t="str">
        <f>IF($A73="","",IF(COUNTA('Процессы'!B73,'Процессы'!E73,'Процессы'!F73,'Процессы'!H73,'Процессы'!I73,'Процессы'!J73,'Процессы'!M73,'Процессы'!O73,'Процессы'!P73,'Процессы'!R73,'Процессы'!S73)=11,"Готово","Есть пробелы"))</f>
        <v/>
      </c>
      <c r="R73" s="23" t="str">
        <f t="array" ref="R73">IF($A73="","",IFERROR(INDEX('Диаграммы'!$A$5:$A$104,MATCH($A73,'Диаграммы'!$B$5:$B$104,0)),"не настроена"))</f>
        <v/>
      </c>
      <c r="S73" s="23" t="str">
        <f t="array" ref="S73">IF(OR($A73="",$R73="не настроена"),"",IFERROR(INDEX('Диаграммы'!$M$5:$M$104,MATCH($R73,'Диаграммы'!$A$5:$A$104,0)),""))</f>
        <v/>
      </c>
      <c r="T73" s="23" t="str">
        <f t="array" ref="T73">IF(OR($A73="",$R73="не настроена"),"",IFERROR(HYPERLINK(INDEX('Диаграммы'!$O$5:$O$104,MATCH($R73,'Диаграммы'!$A$5:$A$104,0)),"открыть"),""))</f>
        <v/>
      </c>
    </row>
    <row r="74" ht="15.75" customHeight="1">
      <c r="A74" s="23" t="str">
        <f>IF('Процессы'!A74="","",'Процессы'!A74)</f>
        <v/>
      </c>
      <c r="B74" s="23" t="str">
        <f t="array" ref="B74">IF($A74="","",IFERROR(INDEX('Система'!$B$5:$B$14,MATCH('Процессы'!B74,'Система'!$A$5:$A$14,0)),"⚠ ID системы"))</f>
        <v/>
      </c>
      <c r="C74" s="23" t="str">
        <f>IF($A74="","",'Процессы'!C74)</f>
        <v/>
      </c>
      <c r="D74" s="23" t="str">
        <f>IF($A74="","",'Процессы'!E74)</f>
        <v/>
      </c>
      <c r="E74" s="23" t="str">
        <f>IF($A74="","",'Процессы'!F74)</f>
        <v/>
      </c>
      <c r="F74" s="23" t="str">
        <f>IF($A74="","",'Процессы'!H74)</f>
        <v/>
      </c>
      <c r="G74" s="23" t="str">
        <f>IF($A74="","",'Процессы'!I74)</f>
        <v/>
      </c>
      <c r="H74" s="23" t="str">
        <f>IF($A74="","",'Процессы'!J74)</f>
        <v/>
      </c>
      <c r="I74" s="23" t="str">
        <f t="array" ref="I74">IF($A74="","",IFERROR(INDEX('Позиции'!$C$5:$C$204,MATCH('Процессы'!M74,'Позиции'!$A$5:$A$204,0)),"⚠ ID позиции"))</f>
        <v/>
      </c>
      <c r="J74" s="23" t="str">
        <f>IF($A74="","",COUNTIF('Действия'!$B$5:$B$304,$A74))</f>
        <v/>
      </c>
      <c r="K74" s="23" t="str">
        <f>IF($A74="","",COUNTIF('Переходы'!$B$5:$B$304,$A74))</f>
        <v/>
      </c>
      <c r="L74" s="23" t="str">
        <f>IF($A74="","",'Процессы'!O74)</f>
        <v/>
      </c>
      <c r="M74" s="23" t="str">
        <f>IF($A74="","",'Процессы'!P74)</f>
        <v/>
      </c>
      <c r="N74" s="23" t="str">
        <f>IF($A74="","",'Процессы'!Q74)</f>
        <v/>
      </c>
      <c r="O74" s="23" t="str">
        <f>IF($A74="","",'Процессы'!R74)</f>
        <v/>
      </c>
      <c r="P74" s="23" t="str">
        <f>IF($A74="","",'Процессы'!S74)</f>
        <v/>
      </c>
      <c r="Q74" s="23" t="str">
        <f>IF($A74="","",IF(COUNTA('Процессы'!B74,'Процессы'!E74,'Процессы'!F74,'Процессы'!H74,'Процессы'!I74,'Процессы'!J74,'Процессы'!M74,'Процессы'!O74,'Процессы'!P74,'Процессы'!R74,'Процессы'!S74)=11,"Готово","Есть пробелы"))</f>
        <v/>
      </c>
      <c r="R74" s="23" t="str">
        <f t="array" ref="R74">IF($A74="","",IFERROR(INDEX('Диаграммы'!$A$5:$A$104,MATCH($A74,'Диаграммы'!$B$5:$B$104,0)),"не настроена"))</f>
        <v/>
      </c>
      <c r="S74" s="23" t="str">
        <f t="array" ref="S74">IF(OR($A74="",$R74="не настроена"),"",IFERROR(INDEX('Диаграммы'!$M$5:$M$104,MATCH($R74,'Диаграммы'!$A$5:$A$104,0)),""))</f>
        <v/>
      </c>
      <c r="T74" s="23" t="str">
        <f t="array" ref="T74">IF(OR($A74="",$R74="не настроена"),"",IFERROR(HYPERLINK(INDEX('Диаграммы'!$O$5:$O$104,MATCH($R74,'Диаграммы'!$A$5:$A$104,0)),"открыть"),""))</f>
        <v/>
      </c>
    </row>
    <row r="75" ht="15.75" customHeight="1">
      <c r="A75" s="23" t="str">
        <f>IF('Процессы'!A75="","",'Процессы'!A75)</f>
        <v/>
      </c>
      <c r="B75" s="23" t="str">
        <f t="array" ref="B75">IF($A75="","",IFERROR(INDEX('Система'!$B$5:$B$14,MATCH('Процессы'!B75,'Система'!$A$5:$A$14,0)),"⚠ ID системы"))</f>
        <v/>
      </c>
      <c r="C75" s="23" t="str">
        <f>IF($A75="","",'Процессы'!C75)</f>
        <v/>
      </c>
      <c r="D75" s="23" t="str">
        <f>IF($A75="","",'Процессы'!E75)</f>
        <v/>
      </c>
      <c r="E75" s="23" t="str">
        <f>IF($A75="","",'Процессы'!F75)</f>
        <v/>
      </c>
      <c r="F75" s="23" t="str">
        <f>IF($A75="","",'Процессы'!H75)</f>
        <v/>
      </c>
      <c r="G75" s="23" t="str">
        <f>IF($A75="","",'Процессы'!I75)</f>
        <v/>
      </c>
      <c r="H75" s="23" t="str">
        <f>IF($A75="","",'Процессы'!J75)</f>
        <v/>
      </c>
      <c r="I75" s="23" t="str">
        <f t="array" ref="I75">IF($A75="","",IFERROR(INDEX('Позиции'!$C$5:$C$204,MATCH('Процессы'!M75,'Позиции'!$A$5:$A$204,0)),"⚠ ID позиции"))</f>
        <v/>
      </c>
      <c r="J75" s="23" t="str">
        <f>IF($A75="","",COUNTIF('Действия'!$B$5:$B$304,$A75))</f>
        <v/>
      </c>
      <c r="K75" s="23" t="str">
        <f>IF($A75="","",COUNTIF('Переходы'!$B$5:$B$304,$A75))</f>
        <v/>
      </c>
      <c r="L75" s="23" t="str">
        <f>IF($A75="","",'Процессы'!O75)</f>
        <v/>
      </c>
      <c r="M75" s="23" t="str">
        <f>IF($A75="","",'Процессы'!P75)</f>
        <v/>
      </c>
      <c r="N75" s="23" t="str">
        <f>IF($A75="","",'Процессы'!Q75)</f>
        <v/>
      </c>
      <c r="O75" s="23" t="str">
        <f>IF($A75="","",'Процессы'!R75)</f>
        <v/>
      </c>
      <c r="P75" s="23" t="str">
        <f>IF($A75="","",'Процессы'!S75)</f>
        <v/>
      </c>
      <c r="Q75" s="23" t="str">
        <f>IF($A75="","",IF(COUNTA('Процессы'!B75,'Процессы'!E75,'Процессы'!F75,'Процессы'!H75,'Процессы'!I75,'Процессы'!J75,'Процессы'!M75,'Процессы'!O75,'Процессы'!P75,'Процессы'!R75,'Процессы'!S75)=11,"Готово","Есть пробелы"))</f>
        <v/>
      </c>
      <c r="R75" s="23" t="str">
        <f t="array" ref="R75">IF($A75="","",IFERROR(INDEX('Диаграммы'!$A$5:$A$104,MATCH($A75,'Диаграммы'!$B$5:$B$104,0)),"не настроена"))</f>
        <v/>
      </c>
      <c r="S75" s="23" t="str">
        <f t="array" ref="S75">IF(OR($A75="",$R75="не настроена"),"",IFERROR(INDEX('Диаграммы'!$M$5:$M$104,MATCH($R75,'Диаграммы'!$A$5:$A$104,0)),""))</f>
        <v/>
      </c>
      <c r="T75" s="23" t="str">
        <f t="array" ref="T75">IF(OR($A75="",$R75="не настроена"),"",IFERROR(HYPERLINK(INDEX('Диаграммы'!$O$5:$O$104,MATCH($R75,'Диаграммы'!$A$5:$A$104,0)),"открыть"),""))</f>
        <v/>
      </c>
    </row>
    <row r="76" ht="15.75" customHeight="1">
      <c r="A76" s="23" t="str">
        <f>IF('Процессы'!A76="","",'Процессы'!A76)</f>
        <v/>
      </c>
      <c r="B76" s="23" t="str">
        <f t="array" ref="B76">IF($A76="","",IFERROR(INDEX('Система'!$B$5:$B$14,MATCH('Процессы'!B76,'Система'!$A$5:$A$14,0)),"⚠ ID системы"))</f>
        <v/>
      </c>
      <c r="C76" s="23" t="str">
        <f>IF($A76="","",'Процессы'!C76)</f>
        <v/>
      </c>
      <c r="D76" s="23" t="str">
        <f>IF($A76="","",'Процессы'!E76)</f>
        <v/>
      </c>
      <c r="E76" s="23" t="str">
        <f>IF($A76="","",'Процессы'!F76)</f>
        <v/>
      </c>
      <c r="F76" s="23" t="str">
        <f>IF($A76="","",'Процессы'!H76)</f>
        <v/>
      </c>
      <c r="G76" s="23" t="str">
        <f>IF($A76="","",'Процессы'!I76)</f>
        <v/>
      </c>
      <c r="H76" s="23" t="str">
        <f>IF($A76="","",'Процессы'!J76)</f>
        <v/>
      </c>
      <c r="I76" s="23" t="str">
        <f t="array" ref="I76">IF($A76="","",IFERROR(INDEX('Позиции'!$C$5:$C$204,MATCH('Процессы'!M76,'Позиции'!$A$5:$A$204,0)),"⚠ ID позиции"))</f>
        <v/>
      </c>
      <c r="J76" s="23" t="str">
        <f>IF($A76="","",COUNTIF('Действия'!$B$5:$B$304,$A76))</f>
        <v/>
      </c>
      <c r="K76" s="23" t="str">
        <f>IF($A76="","",COUNTIF('Переходы'!$B$5:$B$304,$A76))</f>
        <v/>
      </c>
      <c r="L76" s="23" t="str">
        <f>IF($A76="","",'Процессы'!O76)</f>
        <v/>
      </c>
      <c r="M76" s="23" t="str">
        <f>IF($A76="","",'Процессы'!P76)</f>
        <v/>
      </c>
      <c r="N76" s="23" t="str">
        <f>IF($A76="","",'Процессы'!Q76)</f>
        <v/>
      </c>
      <c r="O76" s="23" t="str">
        <f>IF($A76="","",'Процессы'!R76)</f>
        <v/>
      </c>
      <c r="P76" s="23" t="str">
        <f>IF($A76="","",'Процессы'!S76)</f>
        <v/>
      </c>
      <c r="Q76" s="23" t="str">
        <f>IF($A76="","",IF(COUNTA('Процессы'!B76,'Процессы'!E76,'Процессы'!F76,'Процессы'!H76,'Процессы'!I76,'Процессы'!J76,'Процессы'!M76,'Процессы'!O76,'Процессы'!P76,'Процессы'!R76,'Процессы'!S76)=11,"Готово","Есть пробелы"))</f>
        <v/>
      </c>
      <c r="R76" s="23" t="str">
        <f t="array" ref="R76">IF($A76="","",IFERROR(INDEX('Диаграммы'!$A$5:$A$104,MATCH($A76,'Диаграммы'!$B$5:$B$104,0)),"не настроена"))</f>
        <v/>
      </c>
      <c r="S76" s="23" t="str">
        <f t="array" ref="S76">IF(OR($A76="",$R76="не настроена"),"",IFERROR(INDEX('Диаграммы'!$M$5:$M$104,MATCH($R76,'Диаграммы'!$A$5:$A$104,0)),""))</f>
        <v/>
      </c>
      <c r="T76" s="23" t="str">
        <f t="array" ref="T76">IF(OR($A76="",$R76="не настроена"),"",IFERROR(HYPERLINK(INDEX('Диаграммы'!$O$5:$O$104,MATCH($R76,'Диаграммы'!$A$5:$A$104,0)),"открыть"),""))</f>
        <v/>
      </c>
    </row>
    <row r="77" ht="15.75" customHeight="1">
      <c r="A77" s="23" t="str">
        <f>IF('Процессы'!A77="","",'Процессы'!A77)</f>
        <v/>
      </c>
      <c r="B77" s="23" t="str">
        <f t="array" ref="B77">IF($A77="","",IFERROR(INDEX('Система'!$B$5:$B$14,MATCH('Процессы'!B77,'Система'!$A$5:$A$14,0)),"⚠ ID системы"))</f>
        <v/>
      </c>
      <c r="C77" s="23" t="str">
        <f>IF($A77="","",'Процессы'!C77)</f>
        <v/>
      </c>
      <c r="D77" s="23" t="str">
        <f>IF($A77="","",'Процессы'!E77)</f>
        <v/>
      </c>
      <c r="E77" s="23" t="str">
        <f>IF($A77="","",'Процессы'!F77)</f>
        <v/>
      </c>
      <c r="F77" s="23" t="str">
        <f>IF($A77="","",'Процессы'!H77)</f>
        <v/>
      </c>
      <c r="G77" s="23" t="str">
        <f>IF($A77="","",'Процессы'!I77)</f>
        <v/>
      </c>
      <c r="H77" s="23" t="str">
        <f>IF($A77="","",'Процессы'!J77)</f>
        <v/>
      </c>
      <c r="I77" s="23" t="str">
        <f t="array" ref="I77">IF($A77="","",IFERROR(INDEX('Позиции'!$C$5:$C$204,MATCH('Процессы'!M77,'Позиции'!$A$5:$A$204,0)),"⚠ ID позиции"))</f>
        <v/>
      </c>
      <c r="J77" s="23" t="str">
        <f>IF($A77="","",COUNTIF('Действия'!$B$5:$B$304,$A77))</f>
        <v/>
      </c>
      <c r="K77" s="23" t="str">
        <f>IF($A77="","",COUNTIF('Переходы'!$B$5:$B$304,$A77))</f>
        <v/>
      </c>
      <c r="L77" s="23" t="str">
        <f>IF($A77="","",'Процессы'!O77)</f>
        <v/>
      </c>
      <c r="M77" s="23" t="str">
        <f>IF($A77="","",'Процессы'!P77)</f>
        <v/>
      </c>
      <c r="N77" s="23" t="str">
        <f>IF($A77="","",'Процессы'!Q77)</f>
        <v/>
      </c>
      <c r="O77" s="23" t="str">
        <f>IF($A77="","",'Процессы'!R77)</f>
        <v/>
      </c>
      <c r="P77" s="23" t="str">
        <f>IF($A77="","",'Процессы'!S77)</f>
        <v/>
      </c>
      <c r="Q77" s="23" t="str">
        <f>IF($A77="","",IF(COUNTA('Процессы'!B77,'Процессы'!E77,'Процессы'!F77,'Процессы'!H77,'Процессы'!I77,'Процессы'!J77,'Процессы'!M77,'Процессы'!O77,'Процессы'!P77,'Процессы'!R77,'Процессы'!S77)=11,"Готово","Есть пробелы"))</f>
        <v/>
      </c>
      <c r="R77" s="23" t="str">
        <f t="array" ref="R77">IF($A77="","",IFERROR(INDEX('Диаграммы'!$A$5:$A$104,MATCH($A77,'Диаграммы'!$B$5:$B$104,0)),"не настроена"))</f>
        <v/>
      </c>
      <c r="S77" s="23" t="str">
        <f t="array" ref="S77">IF(OR($A77="",$R77="не настроена"),"",IFERROR(INDEX('Диаграммы'!$M$5:$M$104,MATCH($R77,'Диаграммы'!$A$5:$A$104,0)),""))</f>
        <v/>
      </c>
      <c r="T77" s="23" t="str">
        <f t="array" ref="T77">IF(OR($A77="",$R77="не настроена"),"",IFERROR(HYPERLINK(INDEX('Диаграммы'!$O$5:$O$104,MATCH($R77,'Диаграммы'!$A$5:$A$104,0)),"открыть"),""))</f>
        <v/>
      </c>
    </row>
    <row r="78" ht="15.75" customHeight="1">
      <c r="A78" s="23" t="str">
        <f>IF('Процессы'!A78="","",'Процессы'!A78)</f>
        <v/>
      </c>
      <c r="B78" s="23" t="str">
        <f t="array" ref="B78">IF($A78="","",IFERROR(INDEX('Система'!$B$5:$B$14,MATCH('Процессы'!B78,'Система'!$A$5:$A$14,0)),"⚠ ID системы"))</f>
        <v/>
      </c>
      <c r="C78" s="23" t="str">
        <f>IF($A78="","",'Процессы'!C78)</f>
        <v/>
      </c>
      <c r="D78" s="23" t="str">
        <f>IF($A78="","",'Процессы'!E78)</f>
        <v/>
      </c>
      <c r="E78" s="23" t="str">
        <f>IF($A78="","",'Процессы'!F78)</f>
        <v/>
      </c>
      <c r="F78" s="23" t="str">
        <f>IF($A78="","",'Процессы'!H78)</f>
        <v/>
      </c>
      <c r="G78" s="23" t="str">
        <f>IF($A78="","",'Процессы'!I78)</f>
        <v/>
      </c>
      <c r="H78" s="23" t="str">
        <f>IF($A78="","",'Процессы'!J78)</f>
        <v/>
      </c>
      <c r="I78" s="23" t="str">
        <f t="array" ref="I78">IF($A78="","",IFERROR(INDEX('Позиции'!$C$5:$C$204,MATCH('Процессы'!M78,'Позиции'!$A$5:$A$204,0)),"⚠ ID позиции"))</f>
        <v/>
      </c>
      <c r="J78" s="23" t="str">
        <f>IF($A78="","",COUNTIF('Действия'!$B$5:$B$304,$A78))</f>
        <v/>
      </c>
      <c r="K78" s="23" t="str">
        <f>IF($A78="","",COUNTIF('Переходы'!$B$5:$B$304,$A78))</f>
        <v/>
      </c>
      <c r="L78" s="23" t="str">
        <f>IF($A78="","",'Процессы'!O78)</f>
        <v/>
      </c>
      <c r="M78" s="23" t="str">
        <f>IF($A78="","",'Процессы'!P78)</f>
        <v/>
      </c>
      <c r="N78" s="23" t="str">
        <f>IF($A78="","",'Процессы'!Q78)</f>
        <v/>
      </c>
      <c r="O78" s="23" t="str">
        <f>IF($A78="","",'Процессы'!R78)</f>
        <v/>
      </c>
      <c r="P78" s="23" t="str">
        <f>IF($A78="","",'Процессы'!S78)</f>
        <v/>
      </c>
      <c r="Q78" s="23" t="str">
        <f>IF($A78="","",IF(COUNTA('Процессы'!B78,'Процессы'!E78,'Процессы'!F78,'Процессы'!H78,'Процессы'!I78,'Процессы'!J78,'Процессы'!M78,'Процессы'!O78,'Процессы'!P78,'Процессы'!R78,'Процессы'!S78)=11,"Готово","Есть пробелы"))</f>
        <v/>
      </c>
      <c r="R78" s="23" t="str">
        <f t="array" ref="R78">IF($A78="","",IFERROR(INDEX('Диаграммы'!$A$5:$A$104,MATCH($A78,'Диаграммы'!$B$5:$B$104,0)),"не настроена"))</f>
        <v/>
      </c>
      <c r="S78" s="23" t="str">
        <f t="array" ref="S78">IF(OR($A78="",$R78="не настроена"),"",IFERROR(INDEX('Диаграммы'!$M$5:$M$104,MATCH($R78,'Диаграммы'!$A$5:$A$104,0)),""))</f>
        <v/>
      </c>
      <c r="T78" s="23" t="str">
        <f t="array" ref="T78">IF(OR($A78="",$R78="не настроена"),"",IFERROR(HYPERLINK(INDEX('Диаграммы'!$O$5:$O$104,MATCH($R78,'Диаграммы'!$A$5:$A$104,0)),"открыть"),""))</f>
        <v/>
      </c>
    </row>
    <row r="79" ht="15.75" customHeight="1">
      <c r="A79" s="23" t="str">
        <f>IF('Процессы'!A79="","",'Процессы'!A79)</f>
        <v/>
      </c>
      <c r="B79" s="23" t="str">
        <f t="array" ref="B79">IF($A79="","",IFERROR(INDEX('Система'!$B$5:$B$14,MATCH('Процессы'!B79,'Система'!$A$5:$A$14,0)),"⚠ ID системы"))</f>
        <v/>
      </c>
      <c r="C79" s="23" t="str">
        <f>IF($A79="","",'Процессы'!C79)</f>
        <v/>
      </c>
      <c r="D79" s="23" t="str">
        <f>IF($A79="","",'Процессы'!E79)</f>
        <v/>
      </c>
      <c r="E79" s="23" t="str">
        <f>IF($A79="","",'Процессы'!F79)</f>
        <v/>
      </c>
      <c r="F79" s="23" t="str">
        <f>IF($A79="","",'Процессы'!H79)</f>
        <v/>
      </c>
      <c r="G79" s="23" t="str">
        <f>IF($A79="","",'Процессы'!I79)</f>
        <v/>
      </c>
      <c r="H79" s="23" t="str">
        <f>IF($A79="","",'Процессы'!J79)</f>
        <v/>
      </c>
      <c r="I79" s="23" t="str">
        <f t="array" ref="I79">IF($A79="","",IFERROR(INDEX('Позиции'!$C$5:$C$204,MATCH('Процессы'!M79,'Позиции'!$A$5:$A$204,0)),"⚠ ID позиции"))</f>
        <v/>
      </c>
      <c r="J79" s="23" t="str">
        <f>IF($A79="","",COUNTIF('Действия'!$B$5:$B$304,$A79))</f>
        <v/>
      </c>
      <c r="K79" s="23" t="str">
        <f>IF($A79="","",COUNTIF('Переходы'!$B$5:$B$304,$A79))</f>
        <v/>
      </c>
      <c r="L79" s="23" t="str">
        <f>IF($A79="","",'Процессы'!O79)</f>
        <v/>
      </c>
      <c r="M79" s="23" t="str">
        <f>IF($A79="","",'Процессы'!P79)</f>
        <v/>
      </c>
      <c r="N79" s="23" t="str">
        <f>IF($A79="","",'Процессы'!Q79)</f>
        <v/>
      </c>
      <c r="O79" s="23" t="str">
        <f>IF($A79="","",'Процессы'!R79)</f>
        <v/>
      </c>
      <c r="P79" s="23" t="str">
        <f>IF($A79="","",'Процессы'!S79)</f>
        <v/>
      </c>
      <c r="Q79" s="23" t="str">
        <f>IF($A79="","",IF(COUNTA('Процессы'!B79,'Процессы'!E79,'Процессы'!F79,'Процессы'!H79,'Процессы'!I79,'Процессы'!J79,'Процессы'!M79,'Процессы'!O79,'Процессы'!P79,'Процессы'!R79,'Процессы'!S79)=11,"Готово","Есть пробелы"))</f>
        <v/>
      </c>
      <c r="R79" s="23" t="str">
        <f t="array" ref="R79">IF($A79="","",IFERROR(INDEX('Диаграммы'!$A$5:$A$104,MATCH($A79,'Диаграммы'!$B$5:$B$104,0)),"не настроена"))</f>
        <v/>
      </c>
      <c r="S79" s="23" t="str">
        <f t="array" ref="S79">IF(OR($A79="",$R79="не настроена"),"",IFERROR(INDEX('Диаграммы'!$M$5:$M$104,MATCH($R79,'Диаграммы'!$A$5:$A$104,0)),""))</f>
        <v/>
      </c>
      <c r="T79" s="23" t="str">
        <f t="array" ref="T79">IF(OR($A79="",$R79="не настроена"),"",IFERROR(HYPERLINK(INDEX('Диаграммы'!$O$5:$O$104,MATCH($R79,'Диаграммы'!$A$5:$A$104,0)),"открыть"),""))</f>
        <v/>
      </c>
    </row>
    <row r="80" ht="15.75" customHeight="1">
      <c r="A80" s="23" t="str">
        <f>IF('Процессы'!A80="","",'Процессы'!A80)</f>
        <v/>
      </c>
      <c r="B80" s="23" t="str">
        <f t="array" ref="B80">IF($A80="","",IFERROR(INDEX('Система'!$B$5:$B$14,MATCH('Процессы'!B80,'Система'!$A$5:$A$14,0)),"⚠ ID системы"))</f>
        <v/>
      </c>
      <c r="C80" s="23" t="str">
        <f>IF($A80="","",'Процессы'!C80)</f>
        <v/>
      </c>
      <c r="D80" s="23" t="str">
        <f>IF($A80="","",'Процессы'!E80)</f>
        <v/>
      </c>
      <c r="E80" s="23" t="str">
        <f>IF($A80="","",'Процессы'!F80)</f>
        <v/>
      </c>
      <c r="F80" s="23" t="str">
        <f>IF($A80="","",'Процессы'!H80)</f>
        <v/>
      </c>
      <c r="G80" s="23" t="str">
        <f>IF($A80="","",'Процессы'!I80)</f>
        <v/>
      </c>
      <c r="H80" s="23" t="str">
        <f>IF($A80="","",'Процессы'!J80)</f>
        <v/>
      </c>
      <c r="I80" s="23" t="str">
        <f t="array" ref="I80">IF($A80="","",IFERROR(INDEX('Позиции'!$C$5:$C$204,MATCH('Процессы'!M80,'Позиции'!$A$5:$A$204,0)),"⚠ ID позиции"))</f>
        <v/>
      </c>
      <c r="J80" s="23" t="str">
        <f>IF($A80="","",COUNTIF('Действия'!$B$5:$B$304,$A80))</f>
        <v/>
      </c>
      <c r="K80" s="23" t="str">
        <f>IF($A80="","",COUNTIF('Переходы'!$B$5:$B$304,$A80))</f>
        <v/>
      </c>
      <c r="L80" s="23" t="str">
        <f>IF($A80="","",'Процессы'!O80)</f>
        <v/>
      </c>
      <c r="M80" s="23" t="str">
        <f>IF($A80="","",'Процессы'!P80)</f>
        <v/>
      </c>
      <c r="N80" s="23" t="str">
        <f>IF($A80="","",'Процессы'!Q80)</f>
        <v/>
      </c>
      <c r="O80" s="23" t="str">
        <f>IF($A80="","",'Процессы'!R80)</f>
        <v/>
      </c>
      <c r="P80" s="23" t="str">
        <f>IF($A80="","",'Процессы'!S80)</f>
        <v/>
      </c>
      <c r="Q80" s="23" t="str">
        <f>IF($A80="","",IF(COUNTA('Процессы'!B80,'Процессы'!E80,'Процессы'!F80,'Процессы'!H80,'Процессы'!I80,'Процессы'!J80,'Процессы'!M80,'Процессы'!O80,'Процессы'!P80,'Процессы'!R80,'Процессы'!S80)=11,"Готово","Есть пробелы"))</f>
        <v/>
      </c>
      <c r="R80" s="23" t="str">
        <f t="array" ref="R80">IF($A80="","",IFERROR(INDEX('Диаграммы'!$A$5:$A$104,MATCH($A80,'Диаграммы'!$B$5:$B$104,0)),"не настроена"))</f>
        <v/>
      </c>
      <c r="S80" s="23" t="str">
        <f t="array" ref="S80">IF(OR($A80="",$R80="не настроена"),"",IFERROR(INDEX('Диаграммы'!$M$5:$M$104,MATCH($R80,'Диаграммы'!$A$5:$A$104,0)),""))</f>
        <v/>
      </c>
      <c r="T80" s="23" t="str">
        <f t="array" ref="T80">IF(OR($A80="",$R80="не настроена"),"",IFERROR(HYPERLINK(INDEX('Диаграммы'!$O$5:$O$104,MATCH($R80,'Диаграммы'!$A$5:$A$104,0)),"открыть"),""))</f>
        <v/>
      </c>
    </row>
    <row r="81" ht="15.75" customHeight="1">
      <c r="A81" s="23" t="str">
        <f>IF('Процессы'!A81="","",'Процессы'!A81)</f>
        <v/>
      </c>
      <c r="B81" s="23" t="str">
        <f t="array" ref="B81">IF($A81="","",IFERROR(INDEX('Система'!$B$5:$B$14,MATCH('Процессы'!B81,'Система'!$A$5:$A$14,0)),"⚠ ID системы"))</f>
        <v/>
      </c>
      <c r="C81" s="23" t="str">
        <f>IF($A81="","",'Процессы'!C81)</f>
        <v/>
      </c>
      <c r="D81" s="23" t="str">
        <f>IF($A81="","",'Процессы'!E81)</f>
        <v/>
      </c>
      <c r="E81" s="23" t="str">
        <f>IF($A81="","",'Процессы'!F81)</f>
        <v/>
      </c>
      <c r="F81" s="23" t="str">
        <f>IF($A81="","",'Процессы'!H81)</f>
        <v/>
      </c>
      <c r="G81" s="23" t="str">
        <f>IF($A81="","",'Процессы'!I81)</f>
        <v/>
      </c>
      <c r="H81" s="23" t="str">
        <f>IF($A81="","",'Процессы'!J81)</f>
        <v/>
      </c>
      <c r="I81" s="23" t="str">
        <f t="array" ref="I81">IF($A81="","",IFERROR(INDEX('Позиции'!$C$5:$C$204,MATCH('Процессы'!M81,'Позиции'!$A$5:$A$204,0)),"⚠ ID позиции"))</f>
        <v/>
      </c>
      <c r="J81" s="23" t="str">
        <f>IF($A81="","",COUNTIF('Действия'!$B$5:$B$304,$A81))</f>
        <v/>
      </c>
      <c r="K81" s="23" t="str">
        <f>IF($A81="","",COUNTIF('Переходы'!$B$5:$B$304,$A81))</f>
        <v/>
      </c>
      <c r="L81" s="23" t="str">
        <f>IF($A81="","",'Процессы'!O81)</f>
        <v/>
      </c>
      <c r="M81" s="23" t="str">
        <f>IF($A81="","",'Процессы'!P81)</f>
        <v/>
      </c>
      <c r="N81" s="23" t="str">
        <f>IF($A81="","",'Процессы'!Q81)</f>
        <v/>
      </c>
      <c r="O81" s="23" t="str">
        <f>IF($A81="","",'Процессы'!R81)</f>
        <v/>
      </c>
      <c r="P81" s="23" t="str">
        <f>IF($A81="","",'Процессы'!S81)</f>
        <v/>
      </c>
      <c r="Q81" s="23" t="str">
        <f>IF($A81="","",IF(COUNTA('Процессы'!B81,'Процессы'!E81,'Процессы'!F81,'Процессы'!H81,'Процессы'!I81,'Процессы'!J81,'Процессы'!M81,'Процессы'!O81,'Процессы'!P81,'Процессы'!R81,'Процессы'!S81)=11,"Готово","Есть пробелы"))</f>
        <v/>
      </c>
      <c r="R81" s="23" t="str">
        <f t="array" ref="R81">IF($A81="","",IFERROR(INDEX('Диаграммы'!$A$5:$A$104,MATCH($A81,'Диаграммы'!$B$5:$B$104,0)),"не настроена"))</f>
        <v/>
      </c>
      <c r="S81" s="23" t="str">
        <f t="array" ref="S81">IF(OR($A81="",$R81="не настроена"),"",IFERROR(INDEX('Диаграммы'!$M$5:$M$104,MATCH($R81,'Диаграммы'!$A$5:$A$104,0)),""))</f>
        <v/>
      </c>
      <c r="T81" s="23" t="str">
        <f t="array" ref="T81">IF(OR($A81="",$R81="не настроена"),"",IFERROR(HYPERLINK(INDEX('Диаграммы'!$O$5:$O$104,MATCH($R81,'Диаграммы'!$A$5:$A$104,0)),"открыть"),""))</f>
        <v/>
      </c>
    </row>
    <row r="82" ht="15.75" customHeight="1">
      <c r="A82" s="23" t="str">
        <f>IF('Процессы'!A82="","",'Процессы'!A82)</f>
        <v/>
      </c>
      <c r="B82" s="23" t="str">
        <f t="array" ref="B82">IF($A82="","",IFERROR(INDEX('Система'!$B$5:$B$14,MATCH('Процессы'!B82,'Система'!$A$5:$A$14,0)),"⚠ ID системы"))</f>
        <v/>
      </c>
      <c r="C82" s="23" t="str">
        <f>IF($A82="","",'Процессы'!C82)</f>
        <v/>
      </c>
      <c r="D82" s="23" t="str">
        <f>IF($A82="","",'Процессы'!E82)</f>
        <v/>
      </c>
      <c r="E82" s="23" t="str">
        <f>IF($A82="","",'Процессы'!F82)</f>
        <v/>
      </c>
      <c r="F82" s="23" t="str">
        <f>IF($A82="","",'Процессы'!H82)</f>
        <v/>
      </c>
      <c r="G82" s="23" t="str">
        <f>IF($A82="","",'Процессы'!I82)</f>
        <v/>
      </c>
      <c r="H82" s="23" t="str">
        <f>IF($A82="","",'Процессы'!J82)</f>
        <v/>
      </c>
      <c r="I82" s="23" t="str">
        <f t="array" ref="I82">IF($A82="","",IFERROR(INDEX('Позиции'!$C$5:$C$204,MATCH('Процессы'!M82,'Позиции'!$A$5:$A$204,0)),"⚠ ID позиции"))</f>
        <v/>
      </c>
      <c r="J82" s="23" t="str">
        <f>IF($A82="","",COUNTIF('Действия'!$B$5:$B$304,$A82))</f>
        <v/>
      </c>
      <c r="K82" s="23" t="str">
        <f>IF($A82="","",COUNTIF('Переходы'!$B$5:$B$304,$A82))</f>
        <v/>
      </c>
      <c r="L82" s="23" t="str">
        <f>IF($A82="","",'Процессы'!O82)</f>
        <v/>
      </c>
      <c r="M82" s="23" t="str">
        <f>IF($A82="","",'Процессы'!P82)</f>
        <v/>
      </c>
      <c r="N82" s="23" t="str">
        <f>IF($A82="","",'Процессы'!Q82)</f>
        <v/>
      </c>
      <c r="O82" s="23" t="str">
        <f>IF($A82="","",'Процессы'!R82)</f>
        <v/>
      </c>
      <c r="P82" s="23" t="str">
        <f>IF($A82="","",'Процессы'!S82)</f>
        <v/>
      </c>
      <c r="Q82" s="23" t="str">
        <f>IF($A82="","",IF(COUNTA('Процессы'!B82,'Процессы'!E82,'Процессы'!F82,'Процессы'!H82,'Процессы'!I82,'Процессы'!J82,'Процессы'!M82,'Процессы'!O82,'Процессы'!P82,'Процессы'!R82,'Процессы'!S82)=11,"Готово","Есть пробелы"))</f>
        <v/>
      </c>
      <c r="R82" s="23" t="str">
        <f t="array" ref="R82">IF($A82="","",IFERROR(INDEX('Диаграммы'!$A$5:$A$104,MATCH($A82,'Диаграммы'!$B$5:$B$104,0)),"не настроена"))</f>
        <v/>
      </c>
      <c r="S82" s="23" t="str">
        <f t="array" ref="S82">IF(OR($A82="",$R82="не настроена"),"",IFERROR(INDEX('Диаграммы'!$M$5:$M$104,MATCH($R82,'Диаграммы'!$A$5:$A$104,0)),""))</f>
        <v/>
      </c>
      <c r="T82" s="23" t="str">
        <f t="array" ref="T82">IF(OR($A82="",$R82="не настроена"),"",IFERROR(HYPERLINK(INDEX('Диаграммы'!$O$5:$O$104,MATCH($R82,'Диаграммы'!$A$5:$A$104,0)),"открыть"),""))</f>
        <v/>
      </c>
    </row>
    <row r="83" ht="15.75" customHeight="1">
      <c r="A83" s="23" t="str">
        <f>IF('Процессы'!A83="","",'Процессы'!A83)</f>
        <v/>
      </c>
      <c r="B83" s="23" t="str">
        <f t="array" ref="B83">IF($A83="","",IFERROR(INDEX('Система'!$B$5:$B$14,MATCH('Процессы'!B83,'Система'!$A$5:$A$14,0)),"⚠ ID системы"))</f>
        <v/>
      </c>
      <c r="C83" s="23" t="str">
        <f>IF($A83="","",'Процессы'!C83)</f>
        <v/>
      </c>
      <c r="D83" s="23" t="str">
        <f>IF($A83="","",'Процессы'!E83)</f>
        <v/>
      </c>
      <c r="E83" s="23" t="str">
        <f>IF($A83="","",'Процессы'!F83)</f>
        <v/>
      </c>
      <c r="F83" s="23" t="str">
        <f>IF($A83="","",'Процессы'!H83)</f>
        <v/>
      </c>
      <c r="G83" s="23" t="str">
        <f>IF($A83="","",'Процессы'!I83)</f>
        <v/>
      </c>
      <c r="H83" s="23" t="str">
        <f>IF($A83="","",'Процессы'!J83)</f>
        <v/>
      </c>
      <c r="I83" s="23" t="str">
        <f t="array" ref="I83">IF($A83="","",IFERROR(INDEX('Позиции'!$C$5:$C$204,MATCH('Процессы'!M83,'Позиции'!$A$5:$A$204,0)),"⚠ ID позиции"))</f>
        <v/>
      </c>
      <c r="J83" s="23" t="str">
        <f>IF($A83="","",COUNTIF('Действия'!$B$5:$B$304,$A83))</f>
        <v/>
      </c>
      <c r="K83" s="23" t="str">
        <f>IF($A83="","",COUNTIF('Переходы'!$B$5:$B$304,$A83))</f>
        <v/>
      </c>
      <c r="L83" s="23" t="str">
        <f>IF($A83="","",'Процессы'!O83)</f>
        <v/>
      </c>
      <c r="M83" s="23" t="str">
        <f>IF($A83="","",'Процессы'!P83)</f>
        <v/>
      </c>
      <c r="N83" s="23" t="str">
        <f>IF($A83="","",'Процессы'!Q83)</f>
        <v/>
      </c>
      <c r="O83" s="23" t="str">
        <f>IF($A83="","",'Процессы'!R83)</f>
        <v/>
      </c>
      <c r="P83" s="23" t="str">
        <f>IF($A83="","",'Процессы'!S83)</f>
        <v/>
      </c>
      <c r="Q83" s="23" t="str">
        <f>IF($A83="","",IF(COUNTA('Процессы'!B83,'Процессы'!E83,'Процессы'!F83,'Процессы'!H83,'Процессы'!I83,'Процессы'!J83,'Процессы'!M83,'Процессы'!O83,'Процессы'!P83,'Процессы'!R83,'Процессы'!S83)=11,"Готово","Есть пробелы"))</f>
        <v/>
      </c>
      <c r="R83" s="23" t="str">
        <f t="array" ref="R83">IF($A83="","",IFERROR(INDEX('Диаграммы'!$A$5:$A$104,MATCH($A83,'Диаграммы'!$B$5:$B$104,0)),"не настроена"))</f>
        <v/>
      </c>
      <c r="S83" s="23" t="str">
        <f t="array" ref="S83">IF(OR($A83="",$R83="не настроена"),"",IFERROR(INDEX('Диаграммы'!$M$5:$M$104,MATCH($R83,'Диаграммы'!$A$5:$A$104,0)),""))</f>
        <v/>
      </c>
      <c r="T83" s="23" t="str">
        <f t="array" ref="T83">IF(OR($A83="",$R83="не настроена"),"",IFERROR(HYPERLINK(INDEX('Диаграммы'!$O$5:$O$104,MATCH($R83,'Диаграммы'!$A$5:$A$104,0)),"открыть"),""))</f>
        <v/>
      </c>
    </row>
    <row r="84" ht="15.75" customHeight="1">
      <c r="A84" s="23" t="str">
        <f>IF('Процессы'!A84="","",'Процессы'!A84)</f>
        <v/>
      </c>
      <c r="B84" s="23" t="str">
        <f t="array" ref="B84">IF($A84="","",IFERROR(INDEX('Система'!$B$5:$B$14,MATCH('Процессы'!B84,'Система'!$A$5:$A$14,0)),"⚠ ID системы"))</f>
        <v/>
      </c>
      <c r="C84" s="23" t="str">
        <f>IF($A84="","",'Процессы'!C84)</f>
        <v/>
      </c>
      <c r="D84" s="23" t="str">
        <f>IF($A84="","",'Процессы'!E84)</f>
        <v/>
      </c>
      <c r="E84" s="23" t="str">
        <f>IF($A84="","",'Процессы'!F84)</f>
        <v/>
      </c>
      <c r="F84" s="23" t="str">
        <f>IF($A84="","",'Процессы'!H84)</f>
        <v/>
      </c>
      <c r="G84" s="23" t="str">
        <f>IF($A84="","",'Процессы'!I84)</f>
        <v/>
      </c>
      <c r="H84" s="23" t="str">
        <f>IF($A84="","",'Процессы'!J84)</f>
        <v/>
      </c>
      <c r="I84" s="23" t="str">
        <f t="array" ref="I84">IF($A84="","",IFERROR(INDEX('Позиции'!$C$5:$C$204,MATCH('Процессы'!M84,'Позиции'!$A$5:$A$204,0)),"⚠ ID позиции"))</f>
        <v/>
      </c>
      <c r="J84" s="23" t="str">
        <f>IF($A84="","",COUNTIF('Действия'!$B$5:$B$304,$A84))</f>
        <v/>
      </c>
      <c r="K84" s="23" t="str">
        <f>IF($A84="","",COUNTIF('Переходы'!$B$5:$B$304,$A84))</f>
        <v/>
      </c>
      <c r="L84" s="23" t="str">
        <f>IF($A84="","",'Процессы'!O84)</f>
        <v/>
      </c>
      <c r="M84" s="23" t="str">
        <f>IF($A84="","",'Процессы'!P84)</f>
        <v/>
      </c>
      <c r="N84" s="23" t="str">
        <f>IF($A84="","",'Процессы'!Q84)</f>
        <v/>
      </c>
      <c r="O84" s="23" t="str">
        <f>IF($A84="","",'Процессы'!R84)</f>
        <v/>
      </c>
      <c r="P84" s="23" t="str">
        <f>IF($A84="","",'Процессы'!S84)</f>
        <v/>
      </c>
      <c r="Q84" s="23" t="str">
        <f>IF($A84="","",IF(COUNTA('Процессы'!B84,'Процессы'!E84,'Процессы'!F84,'Процессы'!H84,'Процессы'!I84,'Процессы'!J84,'Процессы'!M84,'Процессы'!O84,'Процессы'!P84,'Процессы'!R84,'Процессы'!S84)=11,"Готово","Есть пробелы"))</f>
        <v/>
      </c>
      <c r="R84" s="23" t="str">
        <f t="array" ref="R84">IF($A84="","",IFERROR(INDEX('Диаграммы'!$A$5:$A$104,MATCH($A84,'Диаграммы'!$B$5:$B$104,0)),"не настроена"))</f>
        <v/>
      </c>
      <c r="S84" s="23" t="str">
        <f t="array" ref="S84">IF(OR($A84="",$R84="не настроена"),"",IFERROR(INDEX('Диаграммы'!$M$5:$M$104,MATCH($R84,'Диаграммы'!$A$5:$A$104,0)),""))</f>
        <v/>
      </c>
      <c r="T84" s="23" t="str">
        <f t="array" ref="T84">IF(OR($A84="",$R84="не настроена"),"",IFERROR(HYPERLINK(INDEX('Диаграммы'!$O$5:$O$104,MATCH($R84,'Диаграммы'!$A$5:$A$104,0)),"открыть"),""))</f>
        <v/>
      </c>
    </row>
    <row r="85" ht="15.75" customHeight="1">
      <c r="A85" s="23" t="str">
        <f>IF('Процессы'!A85="","",'Процессы'!A85)</f>
        <v/>
      </c>
      <c r="B85" s="23" t="str">
        <f t="array" ref="B85">IF($A85="","",IFERROR(INDEX('Система'!$B$5:$B$14,MATCH('Процессы'!B85,'Система'!$A$5:$A$14,0)),"⚠ ID системы"))</f>
        <v/>
      </c>
      <c r="C85" s="23" t="str">
        <f>IF($A85="","",'Процессы'!C85)</f>
        <v/>
      </c>
      <c r="D85" s="23" t="str">
        <f>IF($A85="","",'Процессы'!E85)</f>
        <v/>
      </c>
      <c r="E85" s="23" t="str">
        <f>IF($A85="","",'Процессы'!F85)</f>
        <v/>
      </c>
      <c r="F85" s="23" t="str">
        <f>IF($A85="","",'Процессы'!H85)</f>
        <v/>
      </c>
      <c r="G85" s="23" t="str">
        <f>IF($A85="","",'Процессы'!I85)</f>
        <v/>
      </c>
      <c r="H85" s="23" t="str">
        <f>IF($A85="","",'Процессы'!J85)</f>
        <v/>
      </c>
      <c r="I85" s="23" t="str">
        <f t="array" ref="I85">IF($A85="","",IFERROR(INDEX('Позиции'!$C$5:$C$204,MATCH('Процессы'!M85,'Позиции'!$A$5:$A$204,0)),"⚠ ID позиции"))</f>
        <v/>
      </c>
      <c r="J85" s="23" t="str">
        <f>IF($A85="","",COUNTIF('Действия'!$B$5:$B$304,$A85))</f>
        <v/>
      </c>
      <c r="K85" s="23" t="str">
        <f>IF($A85="","",COUNTIF('Переходы'!$B$5:$B$304,$A85))</f>
        <v/>
      </c>
      <c r="L85" s="23" t="str">
        <f>IF($A85="","",'Процессы'!O85)</f>
        <v/>
      </c>
      <c r="M85" s="23" t="str">
        <f>IF($A85="","",'Процессы'!P85)</f>
        <v/>
      </c>
      <c r="N85" s="23" t="str">
        <f>IF($A85="","",'Процессы'!Q85)</f>
        <v/>
      </c>
      <c r="O85" s="23" t="str">
        <f>IF($A85="","",'Процессы'!R85)</f>
        <v/>
      </c>
      <c r="P85" s="23" t="str">
        <f>IF($A85="","",'Процессы'!S85)</f>
        <v/>
      </c>
      <c r="Q85" s="23" t="str">
        <f>IF($A85="","",IF(COUNTA('Процессы'!B85,'Процессы'!E85,'Процессы'!F85,'Процессы'!H85,'Процессы'!I85,'Процессы'!J85,'Процессы'!M85,'Процессы'!O85,'Процессы'!P85,'Процессы'!R85,'Процессы'!S85)=11,"Готово","Есть пробелы"))</f>
        <v/>
      </c>
      <c r="R85" s="23" t="str">
        <f t="array" ref="R85">IF($A85="","",IFERROR(INDEX('Диаграммы'!$A$5:$A$104,MATCH($A85,'Диаграммы'!$B$5:$B$104,0)),"не настроена"))</f>
        <v/>
      </c>
      <c r="S85" s="23" t="str">
        <f t="array" ref="S85">IF(OR($A85="",$R85="не настроена"),"",IFERROR(INDEX('Диаграммы'!$M$5:$M$104,MATCH($R85,'Диаграммы'!$A$5:$A$104,0)),""))</f>
        <v/>
      </c>
      <c r="T85" s="23" t="str">
        <f t="array" ref="T85">IF(OR($A85="",$R85="не настроена"),"",IFERROR(HYPERLINK(INDEX('Диаграммы'!$O$5:$O$104,MATCH($R85,'Диаграммы'!$A$5:$A$104,0)),"открыть"),""))</f>
        <v/>
      </c>
    </row>
    <row r="86" ht="15.75" customHeight="1">
      <c r="A86" s="23" t="str">
        <f>IF('Процессы'!A86="","",'Процессы'!A86)</f>
        <v/>
      </c>
      <c r="B86" s="23" t="str">
        <f t="array" ref="B86">IF($A86="","",IFERROR(INDEX('Система'!$B$5:$B$14,MATCH('Процессы'!B86,'Система'!$A$5:$A$14,0)),"⚠ ID системы"))</f>
        <v/>
      </c>
      <c r="C86" s="23" t="str">
        <f>IF($A86="","",'Процессы'!C86)</f>
        <v/>
      </c>
      <c r="D86" s="23" t="str">
        <f>IF($A86="","",'Процессы'!E86)</f>
        <v/>
      </c>
      <c r="E86" s="23" t="str">
        <f>IF($A86="","",'Процессы'!F86)</f>
        <v/>
      </c>
      <c r="F86" s="23" t="str">
        <f>IF($A86="","",'Процессы'!H86)</f>
        <v/>
      </c>
      <c r="G86" s="23" t="str">
        <f>IF($A86="","",'Процессы'!I86)</f>
        <v/>
      </c>
      <c r="H86" s="23" t="str">
        <f>IF($A86="","",'Процессы'!J86)</f>
        <v/>
      </c>
      <c r="I86" s="23" t="str">
        <f t="array" ref="I86">IF($A86="","",IFERROR(INDEX('Позиции'!$C$5:$C$204,MATCH('Процессы'!M86,'Позиции'!$A$5:$A$204,0)),"⚠ ID позиции"))</f>
        <v/>
      </c>
      <c r="J86" s="23" t="str">
        <f>IF($A86="","",COUNTIF('Действия'!$B$5:$B$304,$A86))</f>
        <v/>
      </c>
      <c r="K86" s="23" t="str">
        <f>IF($A86="","",COUNTIF('Переходы'!$B$5:$B$304,$A86))</f>
        <v/>
      </c>
      <c r="L86" s="23" t="str">
        <f>IF($A86="","",'Процессы'!O86)</f>
        <v/>
      </c>
      <c r="M86" s="23" t="str">
        <f>IF($A86="","",'Процессы'!P86)</f>
        <v/>
      </c>
      <c r="N86" s="23" t="str">
        <f>IF($A86="","",'Процессы'!Q86)</f>
        <v/>
      </c>
      <c r="O86" s="23" t="str">
        <f>IF($A86="","",'Процессы'!R86)</f>
        <v/>
      </c>
      <c r="P86" s="23" t="str">
        <f>IF($A86="","",'Процессы'!S86)</f>
        <v/>
      </c>
      <c r="Q86" s="23" t="str">
        <f>IF($A86="","",IF(COUNTA('Процессы'!B86,'Процессы'!E86,'Процессы'!F86,'Процессы'!H86,'Процессы'!I86,'Процессы'!J86,'Процессы'!M86,'Процессы'!O86,'Процессы'!P86,'Процессы'!R86,'Процессы'!S86)=11,"Готово","Есть пробелы"))</f>
        <v/>
      </c>
      <c r="R86" s="23" t="str">
        <f t="array" ref="R86">IF($A86="","",IFERROR(INDEX('Диаграммы'!$A$5:$A$104,MATCH($A86,'Диаграммы'!$B$5:$B$104,0)),"не настроена"))</f>
        <v/>
      </c>
      <c r="S86" s="23" t="str">
        <f t="array" ref="S86">IF(OR($A86="",$R86="не настроена"),"",IFERROR(INDEX('Диаграммы'!$M$5:$M$104,MATCH($R86,'Диаграммы'!$A$5:$A$104,0)),""))</f>
        <v/>
      </c>
      <c r="T86" s="23" t="str">
        <f t="array" ref="T86">IF(OR($A86="",$R86="не настроена"),"",IFERROR(HYPERLINK(INDEX('Диаграммы'!$O$5:$O$104,MATCH($R86,'Диаграммы'!$A$5:$A$104,0)),"открыть"),""))</f>
        <v/>
      </c>
    </row>
    <row r="87" ht="15.75" customHeight="1">
      <c r="A87" s="23" t="str">
        <f>IF('Процессы'!A87="","",'Процессы'!A87)</f>
        <v/>
      </c>
      <c r="B87" s="23" t="str">
        <f t="array" ref="B87">IF($A87="","",IFERROR(INDEX('Система'!$B$5:$B$14,MATCH('Процессы'!B87,'Система'!$A$5:$A$14,0)),"⚠ ID системы"))</f>
        <v/>
      </c>
      <c r="C87" s="23" t="str">
        <f>IF($A87="","",'Процессы'!C87)</f>
        <v/>
      </c>
      <c r="D87" s="23" t="str">
        <f>IF($A87="","",'Процессы'!E87)</f>
        <v/>
      </c>
      <c r="E87" s="23" t="str">
        <f>IF($A87="","",'Процессы'!F87)</f>
        <v/>
      </c>
      <c r="F87" s="23" t="str">
        <f>IF($A87="","",'Процессы'!H87)</f>
        <v/>
      </c>
      <c r="G87" s="23" t="str">
        <f>IF($A87="","",'Процессы'!I87)</f>
        <v/>
      </c>
      <c r="H87" s="23" t="str">
        <f>IF($A87="","",'Процессы'!J87)</f>
        <v/>
      </c>
      <c r="I87" s="23" t="str">
        <f t="array" ref="I87">IF($A87="","",IFERROR(INDEX('Позиции'!$C$5:$C$204,MATCH('Процессы'!M87,'Позиции'!$A$5:$A$204,0)),"⚠ ID позиции"))</f>
        <v/>
      </c>
      <c r="J87" s="23" t="str">
        <f>IF($A87="","",COUNTIF('Действия'!$B$5:$B$304,$A87))</f>
        <v/>
      </c>
      <c r="K87" s="23" t="str">
        <f>IF($A87="","",COUNTIF('Переходы'!$B$5:$B$304,$A87))</f>
        <v/>
      </c>
      <c r="L87" s="23" t="str">
        <f>IF($A87="","",'Процессы'!O87)</f>
        <v/>
      </c>
      <c r="M87" s="23" t="str">
        <f>IF($A87="","",'Процессы'!P87)</f>
        <v/>
      </c>
      <c r="N87" s="23" t="str">
        <f>IF($A87="","",'Процессы'!Q87)</f>
        <v/>
      </c>
      <c r="O87" s="23" t="str">
        <f>IF($A87="","",'Процессы'!R87)</f>
        <v/>
      </c>
      <c r="P87" s="23" t="str">
        <f>IF($A87="","",'Процессы'!S87)</f>
        <v/>
      </c>
      <c r="Q87" s="23" t="str">
        <f>IF($A87="","",IF(COUNTA('Процессы'!B87,'Процессы'!E87,'Процессы'!F87,'Процессы'!H87,'Процессы'!I87,'Процессы'!J87,'Процессы'!M87,'Процессы'!O87,'Процессы'!P87,'Процессы'!R87,'Процессы'!S87)=11,"Готово","Есть пробелы"))</f>
        <v/>
      </c>
      <c r="R87" s="23" t="str">
        <f t="array" ref="R87">IF($A87="","",IFERROR(INDEX('Диаграммы'!$A$5:$A$104,MATCH($A87,'Диаграммы'!$B$5:$B$104,0)),"не настроена"))</f>
        <v/>
      </c>
      <c r="S87" s="23" t="str">
        <f t="array" ref="S87">IF(OR($A87="",$R87="не настроена"),"",IFERROR(INDEX('Диаграммы'!$M$5:$M$104,MATCH($R87,'Диаграммы'!$A$5:$A$104,0)),""))</f>
        <v/>
      </c>
      <c r="T87" s="23" t="str">
        <f t="array" ref="T87">IF(OR($A87="",$R87="не настроена"),"",IFERROR(HYPERLINK(INDEX('Диаграммы'!$O$5:$O$104,MATCH($R87,'Диаграммы'!$A$5:$A$104,0)),"открыть"),""))</f>
        <v/>
      </c>
    </row>
    <row r="88" ht="15.75" customHeight="1">
      <c r="A88" s="23" t="str">
        <f>IF('Процессы'!A88="","",'Процессы'!A88)</f>
        <v/>
      </c>
      <c r="B88" s="23" t="str">
        <f t="array" ref="B88">IF($A88="","",IFERROR(INDEX('Система'!$B$5:$B$14,MATCH('Процессы'!B88,'Система'!$A$5:$A$14,0)),"⚠ ID системы"))</f>
        <v/>
      </c>
      <c r="C88" s="23" t="str">
        <f>IF($A88="","",'Процессы'!C88)</f>
        <v/>
      </c>
      <c r="D88" s="23" t="str">
        <f>IF($A88="","",'Процессы'!E88)</f>
        <v/>
      </c>
      <c r="E88" s="23" t="str">
        <f>IF($A88="","",'Процессы'!F88)</f>
        <v/>
      </c>
      <c r="F88" s="23" t="str">
        <f>IF($A88="","",'Процессы'!H88)</f>
        <v/>
      </c>
      <c r="G88" s="23" t="str">
        <f>IF($A88="","",'Процессы'!I88)</f>
        <v/>
      </c>
      <c r="H88" s="23" t="str">
        <f>IF($A88="","",'Процессы'!J88)</f>
        <v/>
      </c>
      <c r="I88" s="23" t="str">
        <f t="array" ref="I88">IF($A88="","",IFERROR(INDEX('Позиции'!$C$5:$C$204,MATCH('Процессы'!M88,'Позиции'!$A$5:$A$204,0)),"⚠ ID позиции"))</f>
        <v/>
      </c>
      <c r="J88" s="23" t="str">
        <f>IF($A88="","",COUNTIF('Действия'!$B$5:$B$304,$A88))</f>
        <v/>
      </c>
      <c r="K88" s="23" t="str">
        <f>IF($A88="","",COUNTIF('Переходы'!$B$5:$B$304,$A88))</f>
        <v/>
      </c>
      <c r="L88" s="23" t="str">
        <f>IF($A88="","",'Процессы'!O88)</f>
        <v/>
      </c>
      <c r="M88" s="23" t="str">
        <f>IF($A88="","",'Процессы'!P88)</f>
        <v/>
      </c>
      <c r="N88" s="23" t="str">
        <f>IF($A88="","",'Процессы'!Q88)</f>
        <v/>
      </c>
      <c r="O88" s="23" t="str">
        <f>IF($A88="","",'Процессы'!R88)</f>
        <v/>
      </c>
      <c r="P88" s="23" t="str">
        <f>IF($A88="","",'Процессы'!S88)</f>
        <v/>
      </c>
      <c r="Q88" s="23" t="str">
        <f>IF($A88="","",IF(COUNTA('Процессы'!B88,'Процессы'!E88,'Процессы'!F88,'Процессы'!H88,'Процессы'!I88,'Процессы'!J88,'Процессы'!M88,'Процессы'!O88,'Процессы'!P88,'Процессы'!R88,'Процессы'!S88)=11,"Готово","Есть пробелы"))</f>
        <v/>
      </c>
      <c r="R88" s="23" t="str">
        <f t="array" ref="R88">IF($A88="","",IFERROR(INDEX('Диаграммы'!$A$5:$A$104,MATCH($A88,'Диаграммы'!$B$5:$B$104,0)),"не настроена"))</f>
        <v/>
      </c>
      <c r="S88" s="23" t="str">
        <f t="array" ref="S88">IF(OR($A88="",$R88="не настроена"),"",IFERROR(INDEX('Диаграммы'!$M$5:$M$104,MATCH($R88,'Диаграммы'!$A$5:$A$104,0)),""))</f>
        <v/>
      </c>
      <c r="T88" s="23" t="str">
        <f t="array" ref="T88">IF(OR($A88="",$R88="не настроена"),"",IFERROR(HYPERLINK(INDEX('Диаграммы'!$O$5:$O$104,MATCH($R88,'Диаграммы'!$A$5:$A$104,0)),"открыть"),""))</f>
        <v/>
      </c>
    </row>
    <row r="89" ht="15.75" customHeight="1">
      <c r="A89" s="23" t="str">
        <f>IF('Процессы'!A89="","",'Процессы'!A89)</f>
        <v/>
      </c>
      <c r="B89" s="23" t="str">
        <f t="array" ref="B89">IF($A89="","",IFERROR(INDEX('Система'!$B$5:$B$14,MATCH('Процессы'!B89,'Система'!$A$5:$A$14,0)),"⚠ ID системы"))</f>
        <v/>
      </c>
      <c r="C89" s="23" t="str">
        <f>IF($A89="","",'Процессы'!C89)</f>
        <v/>
      </c>
      <c r="D89" s="23" t="str">
        <f>IF($A89="","",'Процессы'!E89)</f>
        <v/>
      </c>
      <c r="E89" s="23" t="str">
        <f>IF($A89="","",'Процессы'!F89)</f>
        <v/>
      </c>
      <c r="F89" s="23" t="str">
        <f>IF($A89="","",'Процессы'!H89)</f>
        <v/>
      </c>
      <c r="G89" s="23" t="str">
        <f>IF($A89="","",'Процессы'!I89)</f>
        <v/>
      </c>
      <c r="H89" s="23" t="str">
        <f>IF($A89="","",'Процессы'!J89)</f>
        <v/>
      </c>
      <c r="I89" s="23" t="str">
        <f t="array" ref="I89">IF($A89="","",IFERROR(INDEX('Позиции'!$C$5:$C$204,MATCH('Процессы'!M89,'Позиции'!$A$5:$A$204,0)),"⚠ ID позиции"))</f>
        <v/>
      </c>
      <c r="J89" s="23" t="str">
        <f>IF($A89="","",COUNTIF('Действия'!$B$5:$B$304,$A89))</f>
        <v/>
      </c>
      <c r="K89" s="23" t="str">
        <f>IF($A89="","",COUNTIF('Переходы'!$B$5:$B$304,$A89))</f>
        <v/>
      </c>
      <c r="L89" s="23" t="str">
        <f>IF($A89="","",'Процессы'!O89)</f>
        <v/>
      </c>
      <c r="M89" s="23" t="str">
        <f>IF($A89="","",'Процессы'!P89)</f>
        <v/>
      </c>
      <c r="N89" s="23" t="str">
        <f>IF($A89="","",'Процессы'!Q89)</f>
        <v/>
      </c>
      <c r="O89" s="23" t="str">
        <f>IF($A89="","",'Процессы'!R89)</f>
        <v/>
      </c>
      <c r="P89" s="23" t="str">
        <f>IF($A89="","",'Процессы'!S89)</f>
        <v/>
      </c>
      <c r="Q89" s="23" t="str">
        <f>IF($A89="","",IF(COUNTA('Процессы'!B89,'Процессы'!E89,'Процессы'!F89,'Процессы'!H89,'Процессы'!I89,'Процессы'!J89,'Процессы'!M89,'Процессы'!O89,'Процессы'!P89,'Процессы'!R89,'Процессы'!S89)=11,"Готово","Есть пробелы"))</f>
        <v/>
      </c>
      <c r="R89" s="23" t="str">
        <f t="array" ref="R89">IF($A89="","",IFERROR(INDEX('Диаграммы'!$A$5:$A$104,MATCH($A89,'Диаграммы'!$B$5:$B$104,0)),"не настроена"))</f>
        <v/>
      </c>
      <c r="S89" s="23" t="str">
        <f t="array" ref="S89">IF(OR($A89="",$R89="не настроена"),"",IFERROR(INDEX('Диаграммы'!$M$5:$M$104,MATCH($R89,'Диаграммы'!$A$5:$A$104,0)),""))</f>
        <v/>
      </c>
      <c r="T89" s="23" t="str">
        <f t="array" ref="T89">IF(OR($A89="",$R89="не настроена"),"",IFERROR(HYPERLINK(INDEX('Диаграммы'!$O$5:$O$104,MATCH($R89,'Диаграммы'!$A$5:$A$104,0)),"открыть"),""))</f>
        <v/>
      </c>
    </row>
    <row r="90" ht="15.75" customHeight="1">
      <c r="A90" s="23" t="str">
        <f>IF('Процессы'!A90="","",'Процессы'!A90)</f>
        <v/>
      </c>
      <c r="B90" s="23" t="str">
        <f t="array" ref="B90">IF($A90="","",IFERROR(INDEX('Система'!$B$5:$B$14,MATCH('Процессы'!B90,'Система'!$A$5:$A$14,0)),"⚠ ID системы"))</f>
        <v/>
      </c>
      <c r="C90" s="23" t="str">
        <f>IF($A90="","",'Процессы'!C90)</f>
        <v/>
      </c>
      <c r="D90" s="23" t="str">
        <f>IF($A90="","",'Процессы'!E90)</f>
        <v/>
      </c>
      <c r="E90" s="23" t="str">
        <f>IF($A90="","",'Процессы'!F90)</f>
        <v/>
      </c>
      <c r="F90" s="23" t="str">
        <f>IF($A90="","",'Процессы'!H90)</f>
        <v/>
      </c>
      <c r="G90" s="23" t="str">
        <f>IF($A90="","",'Процессы'!I90)</f>
        <v/>
      </c>
      <c r="H90" s="23" t="str">
        <f>IF($A90="","",'Процессы'!J90)</f>
        <v/>
      </c>
      <c r="I90" s="23" t="str">
        <f t="array" ref="I90">IF($A90="","",IFERROR(INDEX('Позиции'!$C$5:$C$204,MATCH('Процессы'!M90,'Позиции'!$A$5:$A$204,0)),"⚠ ID позиции"))</f>
        <v/>
      </c>
      <c r="J90" s="23" t="str">
        <f>IF($A90="","",COUNTIF('Действия'!$B$5:$B$304,$A90))</f>
        <v/>
      </c>
      <c r="K90" s="23" t="str">
        <f>IF($A90="","",COUNTIF('Переходы'!$B$5:$B$304,$A90))</f>
        <v/>
      </c>
      <c r="L90" s="23" t="str">
        <f>IF($A90="","",'Процессы'!O90)</f>
        <v/>
      </c>
      <c r="M90" s="23" t="str">
        <f>IF($A90="","",'Процессы'!P90)</f>
        <v/>
      </c>
      <c r="N90" s="23" t="str">
        <f>IF($A90="","",'Процессы'!Q90)</f>
        <v/>
      </c>
      <c r="O90" s="23" t="str">
        <f>IF($A90="","",'Процессы'!R90)</f>
        <v/>
      </c>
      <c r="P90" s="23" t="str">
        <f>IF($A90="","",'Процессы'!S90)</f>
        <v/>
      </c>
      <c r="Q90" s="23" t="str">
        <f>IF($A90="","",IF(COUNTA('Процессы'!B90,'Процессы'!E90,'Процессы'!F90,'Процессы'!H90,'Процессы'!I90,'Процессы'!J90,'Процессы'!M90,'Процессы'!O90,'Процессы'!P90,'Процессы'!R90,'Процессы'!S90)=11,"Готово","Есть пробелы"))</f>
        <v/>
      </c>
      <c r="R90" s="23" t="str">
        <f t="array" ref="R90">IF($A90="","",IFERROR(INDEX('Диаграммы'!$A$5:$A$104,MATCH($A90,'Диаграммы'!$B$5:$B$104,0)),"не настроена"))</f>
        <v/>
      </c>
      <c r="S90" s="23" t="str">
        <f t="array" ref="S90">IF(OR($A90="",$R90="не настроена"),"",IFERROR(INDEX('Диаграммы'!$M$5:$M$104,MATCH($R90,'Диаграммы'!$A$5:$A$104,0)),""))</f>
        <v/>
      </c>
      <c r="T90" s="23" t="str">
        <f t="array" ref="T90">IF(OR($A90="",$R90="не настроена"),"",IFERROR(HYPERLINK(INDEX('Диаграммы'!$O$5:$O$104,MATCH($R90,'Диаграммы'!$A$5:$A$104,0)),"открыть"),""))</f>
        <v/>
      </c>
    </row>
    <row r="91" ht="15.75" customHeight="1">
      <c r="A91" s="23" t="str">
        <f>IF('Процессы'!A91="","",'Процессы'!A91)</f>
        <v/>
      </c>
      <c r="B91" s="23" t="str">
        <f t="array" ref="B91">IF($A91="","",IFERROR(INDEX('Система'!$B$5:$B$14,MATCH('Процессы'!B91,'Система'!$A$5:$A$14,0)),"⚠ ID системы"))</f>
        <v/>
      </c>
      <c r="C91" s="23" t="str">
        <f>IF($A91="","",'Процессы'!C91)</f>
        <v/>
      </c>
      <c r="D91" s="23" t="str">
        <f>IF($A91="","",'Процессы'!E91)</f>
        <v/>
      </c>
      <c r="E91" s="23" t="str">
        <f>IF($A91="","",'Процессы'!F91)</f>
        <v/>
      </c>
      <c r="F91" s="23" t="str">
        <f>IF($A91="","",'Процессы'!H91)</f>
        <v/>
      </c>
      <c r="G91" s="23" t="str">
        <f>IF($A91="","",'Процессы'!I91)</f>
        <v/>
      </c>
      <c r="H91" s="23" t="str">
        <f>IF($A91="","",'Процессы'!J91)</f>
        <v/>
      </c>
      <c r="I91" s="23" t="str">
        <f t="array" ref="I91">IF($A91="","",IFERROR(INDEX('Позиции'!$C$5:$C$204,MATCH('Процессы'!M91,'Позиции'!$A$5:$A$204,0)),"⚠ ID позиции"))</f>
        <v/>
      </c>
      <c r="J91" s="23" t="str">
        <f>IF($A91="","",COUNTIF('Действия'!$B$5:$B$304,$A91))</f>
        <v/>
      </c>
      <c r="K91" s="23" t="str">
        <f>IF($A91="","",COUNTIF('Переходы'!$B$5:$B$304,$A91))</f>
        <v/>
      </c>
      <c r="L91" s="23" t="str">
        <f>IF($A91="","",'Процессы'!O91)</f>
        <v/>
      </c>
      <c r="M91" s="23" t="str">
        <f>IF($A91="","",'Процессы'!P91)</f>
        <v/>
      </c>
      <c r="N91" s="23" t="str">
        <f>IF($A91="","",'Процессы'!Q91)</f>
        <v/>
      </c>
      <c r="O91" s="23" t="str">
        <f>IF($A91="","",'Процессы'!R91)</f>
        <v/>
      </c>
      <c r="P91" s="23" t="str">
        <f>IF($A91="","",'Процессы'!S91)</f>
        <v/>
      </c>
      <c r="Q91" s="23" t="str">
        <f>IF($A91="","",IF(COUNTA('Процессы'!B91,'Процессы'!E91,'Процессы'!F91,'Процессы'!H91,'Процессы'!I91,'Процессы'!J91,'Процессы'!M91,'Процессы'!O91,'Процессы'!P91,'Процессы'!R91,'Процессы'!S91)=11,"Готово","Есть пробелы"))</f>
        <v/>
      </c>
      <c r="R91" s="23" t="str">
        <f t="array" ref="R91">IF($A91="","",IFERROR(INDEX('Диаграммы'!$A$5:$A$104,MATCH($A91,'Диаграммы'!$B$5:$B$104,0)),"не настроена"))</f>
        <v/>
      </c>
      <c r="S91" s="23" t="str">
        <f t="array" ref="S91">IF(OR($A91="",$R91="не настроена"),"",IFERROR(INDEX('Диаграммы'!$M$5:$M$104,MATCH($R91,'Диаграммы'!$A$5:$A$104,0)),""))</f>
        <v/>
      </c>
      <c r="T91" s="23" t="str">
        <f t="array" ref="T91">IF(OR($A91="",$R91="не настроена"),"",IFERROR(HYPERLINK(INDEX('Диаграммы'!$O$5:$O$104,MATCH($R91,'Диаграммы'!$A$5:$A$104,0)),"открыть"),""))</f>
        <v/>
      </c>
    </row>
    <row r="92" ht="15.75" customHeight="1">
      <c r="A92" s="23" t="str">
        <f>IF('Процессы'!A92="","",'Процессы'!A92)</f>
        <v/>
      </c>
      <c r="B92" s="23" t="str">
        <f t="array" ref="B92">IF($A92="","",IFERROR(INDEX('Система'!$B$5:$B$14,MATCH('Процессы'!B92,'Система'!$A$5:$A$14,0)),"⚠ ID системы"))</f>
        <v/>
      </c>
      <c r="C92" s="23" t="str">
        <f>IF($A92="","",'Процессы'!C92)</f>
        <v/>
      </c>
      <c r="D92" s="23" t="str">
        <f>IF($A92="","",'Процессы'!E92)</f>
        <v/>
      </c>
      <c r="E92" s="23" t="str">
        <f>IF($A92="","",'Процессы'!F92)</f>
        <v/>
      </c>
      <c r="F92" s="23" t="str">
        <f>IF($A92="","",'Процессы'!H92)</f>
        <v/>
      </c>
      <c r="G92" s="23" t="str">
        <f>IF($A92="","",'Процессы'!I92)</f>
        <v/>
      </c>
      <c r="H92" s="23" t="str">
        <f>IF($A92="","",'Процессы'!J92)</f>
        <v/>
      </c>
      <c r="I92" s="23" t="str">
        <f t="array" ref="I92">IF($A92="","",IFERROR(INDEX('Позиции'!$C$5:$C$204,MATCH('Процессы'!M92,'Позиции'!$A$5:$A$204,0)),"⚠ ID позиции"))</f>
        <v/>
      </c>
      <c r="J92" s="23" t="str">
        <f>IF($A92="","",COUNTIF('Действия'!$B$5:$B$304,$A92))</f>
        <v/>
      </c>
      <c r="K92" s="23" t="str">
        <f>IF($A92="","",COUNTIF('Переходы'!$B$5:$B$304,$A92))</f>
        <v/>
      </c>
      <c r="L92" s="23" t="str">
        <f>IF($A92="","",'Процессы'!O92)</f>
        <v/>
      </c>
      <c r="M92" s="23" t="str">
        <f>IF($A92="","",'Процессы'!P92)</f>
        <v/>
      </c>
      <c r="N92" s="23" t="str">
        <f>IF($A92="","",'Процессы'!Q92)</f>
        <v/>
      </c>
      <c r="O92" s="23" t="str">
        <f>IF($A92="","",'Процессы'!R92)</f>
        <v/>
      </c>
      <c r="P92" s="23" t="str">
        <f>IF($A92="","",'Процессы'!S92)</f>
        <v/>
      </c>
      <c r="Q92" s="23" t="str">
        <f>IF($A92="","",IF(COUNTA('Процессы'!B92,'Процессы'!E92,'Процессы'!F92,'Процессы'!H92,'Процессы'!I92,'Процессы'!J92,'Процессы'!M92,'Процессы'!O92,'Процессы'!P92,'Процессы'!R92,'Процессы'!S92)=11,"Готово","Есть пробелы"))</f>
        <v/>
      </c>
      <c r="R92" s="23" t="str">
        <f t="array" ref="R92">IF($A92="","",IFERROR(INDEX('Диаграммы'!$A$5:$A$104,MATCH($A92,'Диаграммы'!$B$5:$B$104,0)),"не настроена"))</f>
        <v/>
      </c>
      <c r="S92" s="23" t="str">
        <f t="array" ref="S92">IF(OR($A92="",$R92="не настроена"),"",IFERROR(INDEX('Диаграммы'!$M$5:$M$104,MATCH($R92,'Диаграммы'!$A$5:$A$104,0)),""))</f>
        <v/>
      </c>
      <c r="T92" s="23" t="str">
        <f t="array" ref="T92">IF(OR($A92="",$R92="не настроена"),"",IFERROR(HYPERLINK(INDEX('Диаграммы'!$O$5:$O$104,MATCH($R92,'Диаграммы'!$A$5:$A$104,0)),"открыть"),""))</f>
        <v/>
      </c>
    </row>
    <row r="93" ht="15.75" customHeight="1">
      <c r="A93" s="23" t="str">
        <f>IF('Процессы'!A93="","",'Процессы'!A93)</f>
        <v/>
      </c>
      <c r="B93" s="23" t="str">
        <f t="array" ref="B93">IF($A93="","",IFERROR(INDEX('Система'!$B$5:$B$14,MATCH('Процессы'!B93,'Система'!$A$5:$A$14,0)),"⚠ ID системы"))</f>
        <v/>
      </c>
      <c r="C93" s="23" t="str">
        <f>IF($A93="","",'Процессы'!C93)</f>
        <v/>
      </c>
      <c r="D93" s="23" t="str">
        <f>IF($A93="","",'Процессы'!E93)</f>
        <v/>
      </c>
      <c r="E93" s="23" t="str">
        <f>IF($A93="","",'Процессы'!F93)</f>
        <v/>
      </c>
      <c r="F93" s="23" t="str">
        <f>IF($A93="","",'Процессы'!H93)</f>
        <v/>
      </c>
      <c r="G93" s="23" t="str">
        <f>IF($A93="","",'Процессы'!I93)</f>
        <v/>
      </c>
      <c r="H93" s="23" t="str">
        <f>IF($A93="","",'Процессы'!J93)</f>
        <v/>
      </c>
      <c r="I93" s="23" t="str">
        <f t="array" ref="I93">IF($A93="","",IFERROR(INDEX('Позиции'!$C$5:$C$204,MATCH('Процессы'!M93,'Позиции'!$A$5:$A$204,0)),"⚠ ID позиции"))</f>
        <v/>
      </c>
      <c r="J93" s="23" t="str">
        <f>IF($A93="","",COUNTIF('Действия'!$B$5:$B$304,$A93))</f>
        <v/>
      </c>
      <c r="K93" s="23" t="str">
        <f>IF($A93="","",COUNTIF('Переходы'!$B$5:$B$304,$A93))</f>
        <v/>
      </c>
      <c r="L93" s="23" t="str">
        <f>IF($A93="","",'Процессы'!O93)</f>
        <v/>
      </c>
      <c r="M93" s="23" t="str">
        <f>IF($A93="","",'Процессы'!P93)</f>
        <v/>
      </c>
      <c r="N93" s="23" t="str">
        <f>IF($A93="","",'Процессы'!Q93)</f>
        <v/>
      </c>
      <c r="O93" s="23" t="str">
        <f>IF($A93="","",'Процессы'!R93)</f>
        <v/>
      </c>
      <c r="P93" s="23" t="str">
        <f>IF($A93="","",'Процессы'!S93)</f>
        <v/>
      </c>
      <c r="Q93" s="23" t="str">
        <f>IF($A93="","",IF(COUNTA('Процессы'!B93,'Процессы'!E93,'Процессы'!F93,'Процессы'!H93,'Процессы'!I93,'Процессы'!J93,'Процессы'!M93,'Процессы'!O93,'Процессы'!P93,'Процессы'!R93,'Процессы'!S93)=11,"Готово","Есть пробелы"))</f>
        <v/>
      </c>
      <c r="R93" s="23" t="str">
        <f t="array" ref="R93">IF($A93="","",IFERROR(INDEX('Диаграммы'!$A$5:$A$104,MATCH($A93,'Диаграммы'!$B$5:$B$104,0)),"не настроена"))</f>
        <v/>
      </c>
      <c r="S93" s="23" t="str">
        <f t="array" ref="S93">IF(OR($A93="",$R93="не настроена"),"",IFERROR(INDEX('Диаграммы'!$M$5:$M$104,MATCH($R93,'Диаграммы'!$A$5:$A$104,0)),""))</f>
        <v/>
      </c>
      <c r="T93" s="23" t="str">
        <f t="array" ref="T93">IF(OR($A93="",$R93="не настроена"),"",IFERROR(HYPERLINK(INDEX('Диаграммы'!$O$5:$O$104,MATCH($R93,'Диаграммы'!$A$5:$A$104,0)),"открыть"),""))</f>
        <v/>
      </c>
    </row>
    <row r="94" ht="15.75" customHeight="1">
      <c r="A94" s="23" t="str">
        <f>IF('Процессы'!A94="","",'Процессы'!A94)</f>
        <v/>
      </c>
      <c r="B94" s="23" t="str">
        <f t="array" ref="B94">IF($A94="","",IFERROR(INDEX('Система'!$B$5:$B$14,MATCH('Процессы'!B94,'Система'!$A$5:$A$14,0)),"⚠ ID системы"))</f>
        <v/>
      </c>
      <c r="C94" s="23" t="str">
        <f>IF($A94="","",'Процессы'!C94)</f>
        <v/>
      </c>
      <c r="D94" s="23" t="str">
        <f>IF($A94="","",'Процессы'!E94)</f>
        <v/>
      </c>
      <c r="E94" s="23" t="str">
        <f>IF($A94="","",'Процессы'!F94)</f>
        <v/>
      </c>
      <c r="F94" s="23" t="str">
        <f>IF($A94="","",'Процессы'!H94)</f>
        <v/>
      </c>
      <c r="G94" s="23" t="str">
        <f>IF($A94="","",'Процессы'!I94)</f>
        <v/>
      </c>
      <c r="H94" s="23" t="str">
        <f>IF($A94="","",'Процессы'!J94)</f>
        <v/>
      </c>
      <c r="I94" s="23" t="str">
        <f t="array" ref="I94">IF($A94="","",IFERROR(INDEX('Позиции'!$C$5:$C$204,MATCH('Процессы'!M94,'Позиции'!$A$5:$A$204,0)),"⚠ ID позиции"))</f>
        <v/>
      </c>
      <c r="J94" s="23" t="str">
        <f>IF($A94="","",COUNTIF('Действия'!$B$5:$B$304,$A94))</f>
        <v/>
      </c>
      <c r="K94" s="23" t="str">
        <f>IF($A94="","",COUNTIF('Переходы'!$B$5:$B$304,$A94))</f>
        <v/>
      </c>
      <c r="L94" s="23" t="str">
        <f>IF($A94="","",'Процессы'!O94)</f>
        <v/>
      </c>
      <c r="M94" s="23" t="str">
        <f>IF($A94="","",'Процессы'!P94)</f>
        <v/>
      </c>
      <c r="N94" s="23" t="str">
        <f>IF($A94="","",'Процессы'!Q94)</f>
        <v/>
      </c>
      <c r="O94" s="23" t="str">
        <f>IF($A94="","",'Процессы'!R94)</f>
        <v/>
      </c>
      <c r="P94" s="23" t="str">
        <f>IF($A94="","",'Процессы'!S94)</f>
        <v/>
      </c>
      <c r="Q94" s="23" t="str">
        <f>IF($A94="","",IF(COUNTA('Процессы'!B94,'Процессы'!E94,'Процессы'!F94,'Процессы'!H94,'Процессы'!I94,'Процессы'!J94,'Процессы'!M94,'Процессы'!O94,'Процессы'!P94,'Процессы'!R94,'Процессы'!S94)=11,"Готово","Есть пробелы"))</f>
        <v/>
      </c>
      <c r="R94" s="23" t="str">
        <f t="array" ref="R94">IF($A94="","",IFERROR(INDEX('Диаграммы'!$A$5:$A$104,MATCH($A94,'Диаграммы'!$B$5:$B$104,0)),"не настроена"))</f>
        <v/>
      </c>
      <c r="S94" s="23" t="str">
        <f t="array" ref="S94">IF(OR($A94="",$R94="не настроена"),"",IFERROR(INDEX('Диаграммы'!$M$5:$M$104,MATCH($R94,'Диаграммы'!$A$5:$A$104,0)),""))</f>
        <v/>
      </c>
      <c r="T94" s="23" t="str">
        <f t="array" ref="T94">IF(OR($A94="",$R94="не настроена"),"",IFERROR(HYPERLINK(INDEX('Диаграммы'!$O$5:$O$104,MATCH($R94,'Диаграммы'!$A$5:$A$104,0)),"открыть"),""))</f>
        <v/>
      </c>
    </row>
    <row r="95" ht="15.75" customHeight="1">
      <c r="A95" s="23" t="str">
        <f>IF('Процессы'!A95="","",'Процессы'!A95)</f>
        <v/>
      </c>
      <c r="B95" s="23" t="str">
        <f t="array" ref="B95">IF($A95="","",IFERROR(INDEX('Система'!$B$5:$B$14,MATCH('Процессы'!B95,'Система'!$A$5:$A$14,0)),"⚠ ID системы"))</f>
        <v/>
      </c>
      <c r="C95" s="23" t="str">
        <f>IF($A95="","",'Процессы'!C95)</f>
        <v/>
      </c>
      <c r="D95" s="23" t="str">
        <f>IF($A95="","",'Процессы'!E95)</f>
        <v/>
      </c>
      <c r="E95" s="23" t="str">
        <f>IF($A95="","",'Процессы'!F95)</f>
        <v/>
      </c>
      <c r="F95" s="23" t="str">
        <f>IF($A95="","",'Процессы'!H95)</f>
        <v/>
      </c>
      <c r="G95" s="23" t="str">
        <f>IF($A95="","",'Процессы'!I95)</f>
        <v/>
      </c>
      <c r="H95" s="23" t="str">
        <f>IF($A95="","",'Процессы'!J95)</f>
        <v/>
      </c>
      <c r="I95" s="23" t="str">
        <f t="array" ref="I95">IF($A95="","",IFERROR(INDEX('Позиции'!$C$5:$C$204,MATCH('Процессы'!M95,'Позиции'!$A$5:$A$204,0)),"⚠ ID позиции"))</f>
        <v/>
      </c>
      <c r="J95" s="23" t="str">
        <f>IF($A95="","",COUNTIF('Действия'!$B$5:$B$304,$A95))</f>
        <v/>
      </c>
      <c r="K95" s="23" t="str">
        <f>IF($A95="","",COUNTIF('Переходы'!$B$5:$B$304,$A95))</f>
        <v/>
      </c>
      <c r="L95" s="23" t="str">
        <f>IF($A95="","",'Процессы'!O95)</f>
        <v/>
      </c>
      <c r="M95" s="23" t="str">
        <f>IF($A95="","",'Процессы'!P95)</f>
        <v/>
      </c>
      <c r="N95" s="23" t="str">
        <f>IF($A95="","",'Процессы'!Q95)</f>
        <v/>
      </c>
      <c r="O95" s="23" t="str">
        <f>IF($A95="","",'Процессы'!R95)</f>
        <v/>
      </c>
      <c r="P95" s="23" t="str">
        <f>IF($A95="","",'Процессы'!S95)</f>
        <v/>
      </c>
      <c r="Q95" s="23" t="str">
        <f>IF($A95="","",IF(COUNTA('Процессы'!B95,'Процессы'!E95,'Процессы'!F95,'Процессы'!H95,'Процессы'!I95,'Процессы'!J95,'Процессы'!M95,'Процессы'!O95,'Процессы'!P95,'Процессы'!R95,'Процессы'!S95)=11,"Готово","Есть пробелы"))</f>
        <v/>
      </c>
      <c r="R95" s="23" t="str">
        <f t="array" ref="R95">IF($A95="","",IFERROR(INDEX('Диаграммы'!$A$5:$A$104,MATCH($A95,'Диаграммы'!$B$5:$B$104,0)),"не настроена"))</f>
        <v/>
      </c>
      <c r="S95" s="23" t="str">
        <f t="array" ref="S95">IF(OR($A95="",$R95="не настроена"),"",IFERROR(INDEX('Диаграммы'!$M$5:$M$104,MATCH($R95,'Диаграммы'!$A$5:$A$104,0)),""))</f>
        <v/>
      </c>
      <c r="T95" s="23" t="str">
        <f t="array" ref="T95">IF(OR($A95="",$R95="не настроена"),"",IFERROR(HYPERLINK(INDEX('Диаграммы'!$O$5:$O$104,MATCH($R95,'Диаграммы'!$A$5:$A$104,0)),"открыть"),""))</f>
        <v/>
      </c>
    </row>
    <row r="96" ht="15.75" customHeight="1">
      <c r="A96" s="23" t="str">
        <f>IF('Процессы'!A96="","",'Процессы'!A96)</f>
        <v/>
      </c>
      <c r="B96" s="23" t="str">
        <f t="array" ref="B96">IF($A96="","",IFERROR(INDEX('Система'!$B$5:$B$14,MATCH('Процессы'!B96,'Система'!$A$5:$A$14,0)),"⚠ ID системы"))</f>
        <v/>
      </c>
      <c r="C96" s="23" t="str">
        <f>IF($A96="","",'Процессы'!C96)</f>
        <v/>
      </c>
      <c r="D96" s="23" t="str">
        <f>IF($A96="","",'Процессы'!E96)</f>
        <v/>
      </c>
      <c r="E96" s="23" t="str">
        <f>IF($A96="","",'Процессы'!F96)</f>
        <v/>
      </c>
      <c r="F96" s="23" t="str">
        <f>IF($A96="","",'Процессы'!H96)</f>
        <v/>
      </c>
      <c r="G96" s="23" t="str">
        <f>IF($A96="","",'Процессы'!I96)</f>
        <v/>
      </c>
      <c r="H96" s="23" t="str">
        <f>IF($A96="","",'Процессы'!J96)</f>
        <v/>
      </c>
      <c r="I96" s="23" t="str">
        <f t="array" ref="I96">IF($A96="","",IFERROR(INDEX('Позиции'!$C$5:$C$204,MATCH('Процессы'!M96,'Позиции'!$A$5:$A$204,0)),"⚠ ID позиции"))</f>
        <v/>
      </c>
      <c r="J96" s="23" t="str">
        <f>IF($A96="","",COUNTIF('Действия'!$B$5:$B$304,$A96))</f>
        <v/>
      </c>
      <c r="K96" s="23" t="str">
        <f>IF($A96="","",COUNTIF('Переходы'!$B$5:$B$304,$A96))</f>
        <v/>
      </c>
      <c r="L96" s="23" t="str">
        <f>IF($A96="","",'Процессы'!O96)</f>
        <v/>
      </c>
      <c r="M96" s="23" t="str">
        <f>IF($A96="","",'Процессы'!P96)</f>
        <v/>
      </c>
      <c r="N96" s="23" t="str">
        <f>IF($A96="","",'Процессы'!Q96)</f>
        <v/>
      </c>
      <c r="O96" s="23" t="str">
        <f>IF($A96="","",'Процессы'!R96)</f>
        <v/>
      </c>
      <c r="P96" s="23" t="str">
        <f>IF($A96="","",'Процессы'!S96)</f>
        <v/>
      </c>
      <c r="Q96" s="23" t="str">
        <f>IF($A96="","",IF(COUNTA('Процессы'!B96,'Процессы'!E96,'Процессы'!F96,'Процессы'!H96,'Процессы'!I96,'Процессы'!J96,'Процессы'!M96,'Процессы'!O96,'Процессы'!P96,'Процессы'!R96,'Процессы'!S96)=11,"Готово","Есть пробелы"))</f>
        <v/>
      </c>
      <c r="R96" s="23" t="str">
        <f t="array" ref="R96">IF($A96="","",IFERROR(INDEX('Диаграммы'!$A$5:$A$104,MATCH($A96,'Диаграммы'!$B$5:$B$104,0)),"не настроена"))</f>
        <v/>
      </c>
      <c r="S96" s="23" t="str">
        <f t="array" ref="S96">IF(OR($A96="",$R96="не настроена"),"",IFERROR(INDEX('Диаграммы'!$M$5:$M$104,MATCH($R96,'Диаграммы'!$A$5:$A$104,0)),""))</f>
        <v/>
      </c>
      <c r="T96" s="23" t="str">
        <f t="array" ref="T96">IF(OR($A96="",$R96="не настроена"),"",IFERROR(HYPERLINK(INDEX('Диаграммы'!$O$5:$O$104,MATCH($R96,'Диаграммы'!$A$5:$A$104,0)),"открыть"),""))</f>
        <v/>
      </c>
    </row>
    <row r="97" ht="15.75" customHeight="1">
      <c r="A97" s="23" t="str">
        <f>IF('Процессы'!A97="","",'Процессы'!A97)</f>
        <v/>
      </c>
      <c r="B97" s="23" t="str">
        <f t="array" ref="B97">IF($A97="","",IFERROR(INDEX('Система'!$B$5:$B$14,MATCH('Процессы'!B97,'Система'!$A$5:$A$14,0)),"⚠ ID системы"))</f>
        <v/>
      </c>
      <c r="C97" s="23" t="str">
        <f>IF($A97="","",'Процессы'!C97)</f>
        <v/>
      </c>
      <c r="D97" s="23" t="str">
        <f>IF($A97="","",'Процессы'!E97)</f>
        <v/>
      </c>
      <c r="E97" s="23" t="str">
        <f>IF($A97="","",'Процессы'!F97)</f>
        <v/>
      </c>
      <c r="F97" s="23" t="str">
        <f>IF($A97="","",'Процессы'!H97)</f>
        <v/>
      </c>
      <c r="G97" s="23" t="str">
        <f>IF($A97="","",'Процессы'!I97)</f>
        <v/>
      </c>
      <c r="H97" s="23" t="str">
        <f>IF($A97="","",'Процессы'!J97)</f>
        <v/>
      </c>
      <c r="I97" s="23" t="str">
        <f t="array" ref="I97">IF($A97="","",IFERROR(INDEX('Позиции'!$C$5:$C$204,MATCH('Процессы'!M97,'Позиции'!$A$5:$A$204,0)),"⚠ ID позиции"))</f>
        <v/>
      </c>
      <c r="J97" s="23" t="str">
        <f>IF($A97="","",COUNTIF('Действия'!$B$5:$B$304,$A97))</f>
        <v/>
      </c>
      <c r="K97" s="23" t="str">
        <f>IF($A97="","",COUNTIF('Переходы'!$B$5:$B$304,$A97))</f>
        <v/>
      </c>
      <c r="L97" s="23" t="str">
        <f>IF($A97="","",'Процессы'!O97)</f>
        <v/>
      </c>
      <c r="M97" s="23" t="str">
        <f>IF($A97="","",'Процессы'!P97)</f>
        <v/>
      </c>
      <c r="N97" s="23" t="str">
        <f>IF($A97="","",'Процессы'!Q97)</f>
        <v/>
      </c>
      <c r="O97" s="23" t="str">
        <f>IF($A97="","",'Процессы'!R97)</f>
        <v/>
      </c>
      <c r="P97" s="23" t="str">
        <f>IF($A97="","",'Процессы'!S97)</f>
        <v/>
      </c>
      <c r="Q97" s="23" t="str">
        <f>IF($A97="","",IF(COUNTA('Процессы'!B97,'Процессы'!E97,'Процессы'!F97,'Процессы'!H97,'Процессы'!I97,'Процессы'!J97,'Процессы'!M97,'Процессы'!O97,'Процессы'!P97,'Процессы'!R97,'Процессы'!S97)=11,"Готово","Есть пробелы"))</f>
        <v/>
      </c>
      <c r="R97" s="23" t="str">
        <f t="array" ref="R97">IF($A97="","",IFERROR(INDEX('Диаграммы'!$A$5:$A$104,MATCH($A97,'Диаграммы'!$B$5:$B$104,0)),"не настроена"))</f>
        <v/>
      </c>
      <c r="S97" s="23" t="str">
        <f t="array" ref="S97">IF(OR($A97="",$R97="не настроена"),"",IFERROR(INDEX('Диаграммы'!$M$5:$M$104,MATCH($R97,'Диаграммы'!$A$5:$A$104,0)),""))</f>
        <v/>
      </c>
      <c r="T97" s="23" t="str">
        <f t="array" ref="T97">IF(OR($A97="",$R97="не настроена"),"",IFERROR(HYPERLINK(INDEX('Диаграммы'!$O$5:$O$104,MATCH($R97,'Диаграммы'!$A$5:$A$104,0)),"открыть"),""))</f>
        <v/>
      </c>
    </row>
    <row r="98" ht="15.75" customHeight="1">
      <c r="A98" s="23" t="str">
        <f>IF('Процессы'!A98="","",'Процессы'!A98)</f>
        <v/>
      </c>
      <c r="B98" s="23" t="str">
        <f t="array" ref="B98">IF($A98="","",IFERROR(INDEX('Система'!$B$5:$B$14,MATCH('Процессы'!B98,'Система'!$A$5:$A$14,0)),"⚠ ID системы"))</f>
        <v/>
      </c>
      <c r="C98" s="23" t="str">
        <f>IF($A98="","",'Процессы'!C98)</f>
        <v/>
      </c>
      <c r="D98" s="23" t="str">
        <f>IF($A98="","",'Процессы'!E98)</f>
        <v/>
      </c>
      <c r="E98" s="23" t="str">
        <f>IF($A98="","",'Процессы'!F98)</f>
        <v/>
      </c>
      <c r="F98" s="23" t="str">
        <f>IF($A98="","",'Процессы'!H98)</f>
        <v/>
      </c>
      <c r="G98" s="23" t="str">
        <f>IF($A98="","",'Процессы'!I98)</f>
        <v/>
      </c>
      <c r="H98" s="23" t="str">
        <f>IF($A98="","",'Процессы'!J98)</f>
        <v/>
      </c>
      <c r="I98" s="23" t="str">
        <f t="array" ref="I98">IF($A98="","",IFERROR(INDEX('Позиции'!$C$5:$C$204,MATCH('Процессы'!M98,'Позиции'!$A$5:$A$204,0)),"⚠ ID позиции"))</f>
        <v/>
      </c>
      <c r="J98" s="23" t="str">
        <f>IF($A98="","",COUNTIF('Действия'!$B$5:$B$304,$A98))</f>
        <v/>
      </c>
      <c r="K98" s="23" t="str">
        <f>IF($A98="","",COUNTIF('Переходы'!$B$5:$B$304,$A98))</f>
        <v/>
      </c>
      <c r="L98" s="23" t="str">
        <f>IF($A98="","",'Процессы'!O98)</f>
        <v/>
      </c>
      <c r="M98" s="23" t="str">
        <f>IF($A98="","",'Процессы'!P98)</f>
        <v/>
      </c>
      <c r="N98" s="23" t="str">
        <f>IF($A98="","",'Процессы'!Q98)</f>
        <v/>
      </c>
      <c r="O98" s="23" t="str">
        <f>IF($A98="","",'Процессы'!R98)</f>
        <v/>
      </c>
      <c r="P98" s="23" t="str">
        <f>IF($A98="","",'Процессы'!S98)</f>
        <v/>
      </c>
      <c r="Q98" s="23" t="str">
        <f>IF($A98="","",IF(COUNTA('Процессы'!B98,'Процессы'!E98,'Процессы'!F98,'Процессы'!H98,'Процессы'!I98,'Процессы'!J98,'Процессы'!M98,'Процессы'!O98,'Процессы'!P98,'Процессы'!R98,'Процессы'!S98)=11,"Готово","Есть пробелы"))</f>
        <v/>
      </c>
      <c r="R98" s="23" t="str">
        <f t="array" ref="R98">IF($A98="","",IFERROR(INDEX('Диаграммы'!$A$5:$A$104,MATCH($A98,'Диаграммы'!$B$5:$B$104,0)),"не настроена"))</f>
        <v/>
      </c>
      <c r="S98" s="23" t="str">
        <f t="array" ref="S98">IF(OR($A98="",$R98="не настроена"),"",IFERROR(INDEX('Диаграммы'!$M$5:$M$104,MATCH($R98,'Диаграммы'!$A$5:$A$104,0)),""))</f>
        <v/>
      </c>
      <c r="T98" s="23" t="str">
        <f t="array" ref="T98">IF(OR($A98="",$R98="не настроена"),"",IFERROR(HYPERLINK(INDEX('Диаграммы'!$O$5:$O$104,MATCH($R98,'Диаграммы'!$A$5:$A$104,0)),"открыть"),""))</f>
        <v/>
      </c>
    </row>
    <row r="99" ht="15.75" customHeight="1">
      <c r="A99" s="23" t="str">
        <f>IF('Процессы'!A99="","",'Процессы'!A99)</f>
        <v/>
      </c>
      <c r="B99" s="23" t="str">
        <f t="array" ref="B99">IF($A99="","",IFERROR(INDEX('Система'!$B$5:$B$14,MATCH('Процессы'!B99,'Система'!$A$5:$A$14,0)),"⚠ ID системы"))</f>
        <v/>
      </c>
      <c r="C99" s="23" t="str">
        <f>IF($A99="","",'Процессы'!C99)</f>
        <v/>
      </c>
      <c r="D99" s="23" t="str">
        <f>IF($A99="","",'Процессы'!E99)</f>
        <v/>
      </c>
      <c r="E99" s="23" t="str">
        <f>IF($A99="","",'Процессы'!F99)</f>
        <v/>
      </c>
      <c r="F99" s="23" t="str">
        <f>IF($A99="","",'Процессы'!H99)</f>
        <v/>
      </c>
      <c r="G99" s="23" t="str">
        <f>IF($A99="","",'Процессы'!I99)</f>
        <v/>
      </c>
      <c r="H99" s="23" t="str">
        <f>IF($A99="","",'Процессы'!J99)</f>
        <v/>
      </c>
      <c r="I99" s="23" t="str">
        <f t="array" ref="I99">IF($A99="","",IFERROR(INDEX('Позиции'!$C$5:$C$204,MATCH('Процессы'!M99,'Позиции'!$A$5:$A$204,0)),"⚠ ID позиции"))</f>
        <v/>
      </c>
      <c r="J99" s="23" t="str">
        <f>IF($A99="","",COUNTIF('Действия'!$B$5:$B$304,$A99))</f>
        <v/>
      </c>
      <c r="K99" s="23" t="str">
        <f>IF($A99="","",COUNTIF('Переходы'!$B$5:$B$304,$A99))</f>
        <v/>
      </c>
      <c r="L99" s="23" t="str">
        <f>IF($A99="","",'Процессы'!O99)</f>
        <v/>
      </c>
      <c r="M99" s="23" t="str">
        <f>IF($A99="","",'Процессы'!P99)</f>
        <v/>
      </c>
      <c r="N99" s="23" t="str">
        <f>IF($A99="","",'Процессы'!Q99)</f>
        <v/>
      </c>
      <c r="O99" s="23" t="str">
        <f>IF($A99="","",'Процессы'!R99)</f>
        <v/>
      </c>
      <c r="P99" s="23" t="str">
        <f>IF($A99="","",'Процессы'!S99)</f>
        <v/>
      </c>
      <c r="Q99" s="23" t="str">
        <f>IF($A99="","",IF(COUNTA('Процессы'!B99,'Процессы'!E99,'Процессы'!F99,'Процессы'!H99,'Процессы'!I99,'Процессы'!J99,'Процессы'!M99,'Процессы'!O99,'Процессы'!P99,'Процессы'!R99,'Процессы'!S99)=11,"Готово","Есть пробелы"))</f>
        <v/>
      </c>
      <c r="R99" s="23" t="str">
        <f t="array" ref="R99">IF($A99="","",IFERROR(INDEX('Диаграммы'!$A$5:$A$104,MATCH($A99,'Диаграммы'!$B$5:$B$104,0)),"не настроена"))</f>
        <v/>
      </c>
      <c r="S99" s="23" t="str">
        <f t="array" ref="S99">IF(OR($A99="",$R99="не настроена"),"",IFERROR(INDEX('Диаграммы'!$M$5:$M$104,MATCH($R99,'Диаграммы'!$A$5:$A$104,0)),""))</f>
        <v/>
      </c>
      <c r="T99" s="23" t="str">
        <f t="array" ref="T99">IF(OR($A99="",$R99="не настроена"),"",IFERROR(HYPERLINK(INDEX('Диаграммы'!$O$5:$O$104,MATCH($R99,'Диаграммы'!$A$5:$A$104,0)),"открыть"),""))</f>
        <v/>
      </c>
    </row>
    <row r="100" ht="15.75" customHeight="1">
      <c r="A100" s="23" t="str">
        <f>IF('Процессы'!A100="","",'Процессы'!A100)</f>
        <v/>
      </c>
      <c r="B100" s="23" t="str">
        <f t="array" ref="B100">IF($A100="","",IFERROR(INDEX('Система'!$B$5:$B$14,MATCH('Процессы'!B100,'Система'!$A$5:$A$14,0)),"⚠ ID системы"))</f>
        <v/>
      </c>
      <c r="C100" s="23" t="str">
        <f>IF($A100="","",'Процессы'!C100)</f>
        <v/>
      </c>
      <c r="D100" s="23" t="str">
        <f>IF($A100="","",'Процессы'!E100)</f>
        <v/>
      </c>
      <c r="E100" s="23" t="str">
        <f>IF($A100="","",'Процессы'!F100)</f>
        <v/>
      </c>
      <c r="F100" s="23" t="str">
        <f>IF($A100="","",'Процессы'!H100)</f>
        <v/>
      </c>
      <c r="G100" s="23" t="str">
        <f>IF($A100="","",'Процессы'!I100)</f>
        <v/>
      </c>
      <c r="H100" s="23" t="str">
        <f>IF($A100="","",'Процессы'!J100)</f>
        <v/>
      </c>
      <c r="I100" s="23" t="str">
        <f t="array" ref="I100">IF($A100="","",IFERROR(INDEX('Позиции'!$C$5:$C$204,MATCH('Процессы'!M100,'Позиции'!$A$5:$A$204,0)),"⚠ ID позиции"))</f>
        <v/>
      </c>
      <c r="J100" s="23" t="str">
        <f>IF($A100="","",COUNTIF('Действия'!$B$5:$B$304,$A100))</f>
        <v/>
      </c>
      <c r="K100" s="23" t="str">
        <f>IF($A100="","",COUNTIF('Переходы'!$B$5:$B$304,$A100))</f>
        <v/>
      </c>
      <c r="L100" s="23" t="str">
        <f>IF($A100="","",'Процессы'!O100)</f>
        <v/>
      </c>
      <c r="M100" s="23" t="str">
        <f>IF($A100="","",'Процессы'!P100)</f>
        <v/>
      </c>
      <c r="N100" s="23" t="str">
        <f>IF($A100="","",'Процессы'!Q100)</f>
        <v/>
      </c>
      <c r="O100" s="23" t="str">
        <f>IF($A100="","",'Процессы'!R100)</f>
        <v/>
      </c>
      <c r="P100" s="23" t="str">
        <f>IF($A100="","",'Процессы'!S100)</f>
        <v/>
      </c>
      <c r="Q100" s="23" t="str">
        <f>IF($A100="","",IF(COUNTA('Процессы'!B100,'Процессы'!E100,'Процессы'!F100,'Процессы'!H100,'Процессы'!I100,'Процессы'!J100,'Процессы'!M100,'Процессы'!O100,'Процессы'!P100,'Процессы'!R100,'Процессы'!S100)=11,"Готово","Есть пробелы"))</f>
        <v/>
      </c>
      <c r="R100" s="23" t="str">
        <f t="array" ref="R100">IF($A100="","",IFERROR(INDEX('Диаграммы'!$A$5:$A$104,MATCH($A100,'Диаграммы'!$B$5:$B$104,0)),"не настроена"))</f>
        <v/>
      </c>
      <c r="S100" s="23" t="str">
        <f t="array" ref="S100">IF(OR($A100="",$R100="не настроена"),"",IFERROR(INDEX('Диаграммы'!$M$5:$M$104,MATCH($R100,'Диаграммы'!$A$5:$A$104,0)),""))</f>
        <v/>
      </c>
      <c r="T100" s="23" t="str">
        <f t="array" ref="T100">IF(OR($A100="",$R100="не настроена"),"",IFERROR(HYPERLINK(INDEX('Диаграммы'!$O$5:$O$104,MATCH($R100,'Диаграммы'!$A$5:$A$104,0)),"открыть"),""))</f>
        <v/>
      </c>
    </row>
    <row r="101" ht="15.75" customHeight="1">
      <c r="A101" s="23" t="str">
        <f>IF('Процессы'!A101="","",'Процессы'!A101)</f>
        <v/>
      </c>
      <c r="B101" s="23" t="str">
        <f t="array" ref="B101">IF($A101="","",IFERROR(INDEX('Система'!$B$5:$B$14,MATCH('Процессы'!B101,'Система'!$A$5:$A$14,0)),"⚠ ID системы"))</f>
        <v/>
      </c>
      <c r="C101" s="23" t="str">
        <f>IF($A101="","",'Процессы'!C101)</f>
        <v/>
      </c>
      <c r="D101" s="23" t="str">
        <f>IF($A101="","",'Процессы'!E101)</f>
        <v/>
      </c>
      <c r="E101" s="23" t="str">
        <f>IF($A101="","",'Процессы'!F101)</f>
        <v/>
      </c>
      <c r="F101" s="23" t="str">
        <f>IF($A101="","",'Процессы'!H101)</f>
        <v/>
      </c>
      <c r="G101" s="23" t="str">
        <f>IF($A101="","",'Процессы'!I101)</f>
        <v/>
      </c>
      <c r="H101" s="23" t="str">
        <f>IF($A101="","",'Процессы'!J101)</f>
        <v/>
      </c>
      <c r="I101" s="23" t="str">
        <f t="array" ref="I101">IF($A101="","",IFERROR(INDEX('Позиции'!$C$5:$C$204,MATCH('Процессы'!M101,'Позиции'!$A$5:$A$204,0)),"⚠ ID позиции"))</f>
        <v/>
      </c>
      <c r="J101" s="23" t="str">
        <f>IF($A101="","",COUNTIF('Действия'!$B$5:$B$304,$A101))</f>
        <v/>
      </c>
      <c r="K101" s="23" t="str">
        <f>IF($A101="","",COUNTIF('Переходы'!$B$5:$B$304,$A101))</f>
        <v/>
      </c>
      <c r="L101" s="23" t="str">
        <f>IF($A101="","",'Процессы'!O101)</f>
        <v/>
      </c>
      <c r="M101" s="23" t="str">
        <f>IF($A101="","",'Процессы'!P101)</f>
        <v/>
      </c>
      <c r="N101" s="23" t="str">
        <f>IF($A101="","",'Процессы'!Q101)</f>
        <v/>
      </c>
      <c r="O101" s="23" t="str">
        <f>IF($A101="","",'Процессы'!R101)</f>
        <v/>
      </c>
      <c r="P101" s="23" t="str">
        <f>IF($A101="","",'Процессы'!S101)</f>
        <v/>
      </c>
      <c r="Q101" s="23" t="str">
        <f>IF($A101="","",IF(COUNTA('Процессы'!B101,'Процессы'!E101,'Процессы'!F101,'Процессы'!H101,'Процессы'!I101,'Процессы'!J101,'Процессы'!M101,'Процессы'!O101,'Процессы'!P101,'Процессы'!R101,'Процессы'!S101)=11,"Готово","Есть пробелы"))</f>
        <v/>
      </c>
      <c r="R101" s="23" t="str">
        <f t="array" ref="R101">IF($A101="","",IFERROR(INDEX('Диаграммы'!$A$5:$A$104,MATCH($A101,'Диаграммы'!$B$5:$B$104,0)),"не настроена"))</f>
        <v/>
      </c>
      <c r="S101" s="23" t="str">
        <f t="array" ref="S101">IF(OR($A101="",$R101="не настроена"),"",IFERROR(INDEX('Диаграммы'!$M$5:$M$104,MATCH($R101,'Диаграммы'!$A$5:$A$104,0)),""))</f>
        <v/>
      </c>
      <c r="T101" s="23" t="str">
        <f t="array" ref="T101">IF(OR($A101="",$R101="не настроена"),"",IFERROR(HYPERLINK(INDEX('Диаграммы'!$O$5:$O$104,MATCH($R101,'Диаграммы'!$A$5:$A$104,0)),"открыть"),""))</f>
        <v/>
      </c>
    </row>
    <row r="102" ht="15.75" customHeight="1">
      <c r="A102" s="23" t="str">
        <f>IF('Процессы'!A102="","",'Процессы'!A102)</f>
        <v/>
      </c>
      <c r="B102" s="23" t="str">
        <f t="array" ref="B102">IF($A102="","",IFERROR(INDEX('Система'!$B$5:$B$14,MATCH('Процессы'!B102,'Система'!$A$5:$A$14,0)),"⚠ ID системы"))</f>
        <v/>
      </c>
      <c r="C102" s="23" t="str">
        <f>IF($A102="","",'Процессы'!C102)</f>
        <v/>
      </c>
      <c r="D102" s="23" t="str">
        <f>IF($A102="","",'Процессы'!E102)</f>
        <v/>
      </c>
      <c r="E102" s="23" t="str">
        <f>IF($A102="","",'Процессы'!F102)</f>
        <v/>
      </c>
      <c r="F102" s="23" t="str">
        <f>IF($A102="","",'Процессы'!H102)</f>
        <v/>
      </c>
      <c r="G102" s="23" t="str">
        <f>IF($A102="","",'Процессы'!I102)</f>
        <v/>
      </c>
      <c r="H102" s="23" t="str">
        <f>IF($A102="","",'Процессы'!J102)</f>
        <v/>
      </c>
      <c r="I102" s="23" t="str">
        <f t="array" ref="I102">IF($A102="","",IFERROR(INDEX('Позиции'!$C$5:$C$204,MATCH('Процессы'!M102,'Позиции'!$A$5:$A$204,0)),"⚠ ID позиции"))</f>
        <v/>
      </c>
      <c r="J102" s="23" t="str">
        <f>IF($A102="","",COUNTIF('Действия'!$B$5:$B$304,$A102))</f>
        <v/>
      </c>
      <c r="K102" s="23" t="str">
        <f>IF($A102="","",COUNTIF('Переходы'!$B$5:$B$304,$A102))</f>
        <v/>
      </c>
      <c r="L102" s="23" t="str">
        <f>IF($A102="","",'Процессы'!O102)</f>
        <v/>
      </c>
      <c r="M102" s="23" t="str">
        <f>IF($A102="","",'Процессы'!P102)</f>
        <v/>
      </c>
      <c r="N102" s="23" t="str">
        <f>IF($A102="","",'Процессы'!Q102)</f>
        <v/>
      </c>
      <c r="O102" s="23" t="str">
        <f>IF($A102="","",'Процессы'!R102)</f>
        <v/>
      </c>
      <c r="P102" s="23" t="str">
        <f>IF($A102="","",'Процессы'!S102)</f>
        <v/>
      </c>
      <c r="Q102" s="23" t="str">
        <f>IF($A102="","",IF(COUNTA('Процессы'!B102,'Процессы'!E102,'Процессы'!F102,'Процессы'!H102,'Процессы'!I102,'Процессы'!J102,'Процессы'!M102,'Процессы'!O102,'Процессы'!P102,'Процессы'!R102,'Процессы'!S102)=11,"Готово","Есть пробелы"))</f>
        <v/>
      </c>
      <c r="R102" s="23" t="str">
        <f t="array" ref="R102">IF($A102="","",IFERROR(INDEX('Диаграммы'!$A$5:$A$104,MATCH($A102,'Диаграммы'!$B$5:$B$104,0)),"не настроена"))</f>
        <v/>
      </c>
      <c r="S102" s="23" t="str">
        <f t="array" ref="S102">IF(OR($A102="",$R102="не настроена"),"",IFERROR(INDEX('Диаграммы'!$M$5:$M$104,MATCH($R102,'Диаграммы'!$A$5:$A$104,0)),""))</f>
        <v/>
      </c>
      <c r="T102" s="23" t="str">
        <f t="array" ref="T102">IF(OR($A102="",$R102="не настроена"),"",IFERROR(HYPERLINK(INDEX('Диаграммы'!$O$5:$O$104,MATCH($R102,'Диаграммы'!$A$5:$A$104,0)),"открыть"),""))</f>
        <v/>
      </c>
    </row>
    <row r="103" ht="15.75" customHeight="1">
      <c r="A103" s="23" t="str">
        <f>IF('Процессы'!A103="","",'Процессы'!A103)</f>
        <v/>
      </c>
      <c r="B103" s="23" t="str">
        <f t="array" ref="B103">IF($A103="","",IFERROR(INDEX('Система'!$B$5:$B$14,MATCH('Процессы'!B103,'Система'!$A$5:$A$14,0)),"⚠ ID системы"))</f>
        <v/>
      </c>
      <c r="C103" s="23" t="str">
        <f>IF($A103="","",'Процессы'!C103)</f>
        <v/>
      </c>
      <c r="D103" s="23" t="str">
        <f>IF($A103="","",'Процессы'!E103)</f>
        <v/>
      </c>
      <c r="E103" s="23" t="str">
        <f>IF($A103="","",'Процессы'!F103)</f>
        <v/>
      </c>
      <c r="F103" s="23" t="str">
        <f>IF($A103="","",'Процессы'!H103)</f>
        <v/>
      </c>
      <c r="G103" s="23" t="str">
        <f>IF($A103="","",'Процессы'!I103)</f>
        <v/>
      </c>
      <c r="H103" s="23" t="str">
        <f>IF($A103="","",'Процессы'!J103)</f>
        <v/>
      </c>
      <c r="I103" s="23" t="str">
        <f t="array" ref="I103">IF($A103="","",IFERROR(INDEX('Позиции'!$C$5:$C$204,MATCH('Процессы'!M103,'Позиции'!$A$5:$A$204,0)),"⚠ ID позиции"))</f>
        <v/>
      </c>
      <c r="J103" s="23" t="str">
        <f>IF($A103="","",COUNTIF('Действия'!$B$5:$B$304,$A103))</f>
        <v/>
      </c>
      <c r="K103" s="23" t="str">
        <f>IF($A103="","",COUNTIF('Переходы'!$B$5:$B$304,$A103))</f>
        <v/>
      </c>
      <c r="L103" s="23" t="str">
        <f>IF($A103="","",'Процессы'!O103)</f>
        <v/>
      </c>
      <c r="M103" s="23" t="str">
        <f>IF($A103="","",'Процессы'!P103)</f>
        <v/>
      </c>
      <c r="N103" s="23" t="str">
        <f>IF($A103="","",'Процессы'!Q103)</f>
        <v/>
      </c>
      <c r="O103" s="23" t="str">
        <f>IF($A103="","",'Процессы'!R103)</f>
        <v/>
      </c>
      <c r="P103" s="23" t="str">
        <f>IF($A103="","",'Процессы'!S103)</f>
        <v/>
      </c>
      <c r="Q103" s="23" t="str">
        <f>IF($A103="","",IF(COUNTA('Процессы'!B103,'Процессы'!E103,'Процессы'!F103,'Процессы'!H103,'Процессы'!I103,'Процессы'!J103,'Процессы'!M103,'Процессы'!O103,'Процессы'!P103,'Процессы'!R103,'Процессы'!S103)=11,"Готово","Есть пробелы"))</f>
        <v/>
      </c>
      <c r="R103" s="23" t="str">
        <f t="array" ref="R103">IF($A103="","",IFERROR(INDEX('Диаграммы'!$A$5:$A$104,MATCH($A103,'Диаграммы'!$B$5:$B$104,0)),"не настроена"))</f>
        <v/>
      </c>
      <c r="S103" s="23" t="str">
        <f t="array" ref="S103">IF(OR($A103="",$R103="не настроена"),"",IFERROR(INDEX('Диаграммы'!$M$5:$M$104,MATCH($R103,'Диаграммы'!$A$5:$A$104,0)),""))</f>
        <v/>
      </c>
      <c r="T103" s="23" t="str">
        <f t="array" ref="T103">IF(OR($A103="",$R103="не настроена"),"",IFERROR(HYPERLINK(INDEX('Диаграммы'!$O$5:$O$104,MATCH($R103,'Диаграммы'!$A$5:$A$104,0)),"открыть"),""))</f>
        <v/>
      </c>
    </row>
    <row r="104" ht="15.75" customHeight="1">
      <c r="A104" s="23" t="str">
        <f>IF('Процессы'!A104="","",'Процессы'!A104)</f>
        <v/>
      </c>
      <c r="B104" s="23" t="str">
        <f t="array" ref="B104">IF($A104="","",IFERROR(INDEX('Система'!$B$5:$B$14,MATCH('Процессы'!B104,'Система'!$A$5:$A$14,0)),"⚠ ID системы"))</f>
        <v/>
      </c>
      <c r="C104" s="23" t="str">
        <f>IF($A104="","",'Процессы'!C104)</f>
        <v/>
      </c>
      <c r="D104" s="23" t="str">
        <f>IF($A104="","",'Процессы'!E104)</f>
        <v/>
      </c>
      <c r="E104" s="23" t="str">
        <f>IF($A104="","",'Процессы'!F104)</f>
        <v/>
      </c>
      <c r="F104" s="23" t="str">
        <f>IF($A104="","",'Процессы'!H104)</f>
        <v/>
      </c>
      <c r="G104" s="23" t="str">
        <f>IF($A104="","",'Процессы'!I104)</f>
        <v/>
      </c>
      <c r="H104" s="23" t="str">
        <f>IF($A104="","",'Процессы'!J104)</f>
        <v/>
      </c>
      <c r="I104" s="23" t="str">
        <f t="array" ref="I104">IF($A104="","",IFERROR(INDEX('Позиции'!$C$5:$C$204,MATCH('Процессы'!M104,'Позиции'!$A$5:$A$204,0)),"⚠ ID позиции"))</f>
        <v/>
      </c>
      <c r="J104" s="23" t="str">
        <f>IF($A104="","",COUNTIF('Действия'!$B$5:$B$304,$A104))</f>
        <v/>
      </c>
      <c r="K104" s="23" t="str">
        <f>IF($A104="","",COUNTIF('Переходы'!$B$5:$B$304,$A104))</f>
        <v/>
      </c>
      <c r="L104" s="23" t="str">
        <f>IF($A104="","",'Процессы'!O104)</f>
        <v/>
      </c>
      <c r="M104" s="23" t="str">
        <f>IF($A104="","",'Процессы'!P104)</f>
        <v/>
      </c>
      <c r="N104" s="23" t="str">
        <f>IF($A104="","",'Процессы'!Q104)</f>
        <v/>
      </c>
      <c r="O104" s="23" t="str">
        <f>IF($A104="","",'Процессы'!R104)</f>
        <v/>
      </c>
      <c r="P104" s="23" t="str">
        <f>IF($A104="","",'Процессы'!S104)</f>
        <v/>
      </c>
      <c r="Q104" s="23" t="str">
        <f>IF($A104="","",IF(COUNTA('Процессы'!B104,'Процессы'!E104,'Процессы'!F104,'Процессы'!H104,'Процессы'!I104,'Процессы'!J104,'Процессы'!M104,'Процессы'!O104,'Процессы'!P104,'Процессы'!R104,'Процессы'!S104)=11,"Готово","Есть пробелы"))</f>
        <v/>
      </c>
      <c r="R104" s="23" t="str">
        <f t="array" ref="R104">IF($A104="","",IFERROR(INDEX('Диаграммы'!$A$5:$A$104,MATCH($A104,'Диаграммы'!$B$5:$B$104,0)),"не настроена"))</f>
        <v/>
      </c>
      <c r="S104" s="23" t="str">
        <f t="array" ref="S104">IF(OR($A104="",$R104="не настроена"),"",IFERROR(INDEX('Диаграммы'!$M$5:$M$104,MATCH($R104,'Диаграммы'!$A$5:$A$104,0)),""))</f>
        <v/>
      </c>
      <c r="T104" s="23" t="str">
        <f t="array" ref="T104">IF(OR($A104="",$R104="не настроена"),"",IFERROR(HYPERLINK(INDEX('Диаграммы'!$O$5:$O$104,MATCH($R104,'Диаграммы'!$A$5:$A$104,0)),"открыть"),""))</f>
        <v/>
      </c>
    </row>
    <row r="105" ht="15.75" customHeight="1">
      <c r="A105" s="23" t="str">
        <f>IF('Процессы'!A105="","",'Процессы'!A105)</f>
        <v/>
      </c>
      <c r="B105" s="23" t="str">
        <f t="array" ref="B105">IF($A105="","",IFERROR(INDEX('Система'!$B$5:$B$14,MATCH('Процессы'!B105,'Система'!$A$5:$A$14,0)),"⚠ ID системы"))</f>
        <v/>
      </c>
      <c r="C105" s="23" t="str">
        <f>IF($A105="","",'Процессы'!C105)</f>
        <v/>
      </c>
      <c r="D105" s="23" t="str">
        <f>IF($A105="","",'Процессы'!E105)</f>
        <v/>
      </c>
      <c r="E105" s="23" t="str">
        <f>IF($A105="","",'Процессы'!F105)</f>
        <v/>
      </c>
      <c r="F105" s="23" t="str">
        <f>IF($A105="","",'Процессы'!H105)</f>
        <v/>
      </c>
      <c r="G105" s="23" t="str">
        <f>IF($A105="","",'Процессы'!I105)</f>
        <v/>
      </c>
      <c r="H105" s="23" t="str">
        <f>IF($A105="","",'Процессы'!J105)</f>
        <v/>
      </c>
      <c r="I105" s="23" t="str">
        <f t="array" ref="I105">IF($A105="","",IFERROR(INDEX('Позиции'!$C$5:$C$204,MATCH('Процессы'!M105,'Позиции'!$A$5:$A$204,0)),"⚠ ID позиции"))</f>
        <v/>
      </c>
      <c r="J105" s="23" t="str">
        <f>IF($A105="","",COUNTIF('Действия'!$B$5:$B$304,$A105))</f>
        <v/>
      </c>
      <c r="K105" s="23" t="str">
        <f>IF($A105="","",COUNTIF('Переходы'!$B$5:$B$304,$A105))</f>
        <v/>
      </c>
      <c r="L105" s="23" t="str">
        <f>IF($A105="","",'Процессы'!O105)</f>
        <v/>
      </c>
      <c r="M105" s="23" t="str">
        <f>IF($A105="","",'Процессы'!P105)</f>
        <v/>
      </c>
      <c r="N105" s="23" t="str">
        <f>IF($A105="","",'Процессы'!Q105)</f>
        <v/>
      </c>
      <c r="O105" s="23" t="str">
        <f>IF($A105="","",'Процессы'!R105)</f>
        <v/>
      </c>
      <c r="P105" s="23" t="str">
        <f>IF($A105="","",'Процессы'!S105)</f>
        <v/>
      </c>
      <c r="Q105" s="23" t="str">
        <f>IF($A105="","",IF(COUNTA('Процессы'!B105,'Процессы'!E105,'Процессы'!F105,'Процессы'!H105,'Процессы'!I105,'Процессы'!J105,'Процессы'!M105,'Процессы'!O105,'Процессы'!P105,'Процессы'!R105,'Процессы'!S105)=11,"Готово","Есть пробелы"))</f>
        <v/>
      </c>
      <c r="R105" s="23" t="str">
        <f t="array" ref="R105">IF($A105="","",IFERROR(INDEX('Диаграммы'!$A$5:$A$104,MATCH($A105,'Диаграммы'!$B$5:$B$104,0)),"не настроена"))</f>
        <v/>
      </c>
      <c r="S105" s="23" t="str">
        <f t="array" ref="S105">IF(OR($A105="",$R105="не настроена"),"",IFERROR(INDEX('Диаграммы'!$M$5:$M$104,MATCH($R105,'Диаграммы'!$A$5:$A$104,0)),""))</f>
        <v/>
      </c>
      <c r="T105" s="23" t="str">
        <f t="array" ref="T105">IF(OR($A105="",$R105="не настроена"),"",IFERROR(HYPERLINK(INDEX('Диаграммы'!$O$5:$O$104,MATCH($R105,'Диаграммы'!$A$5:$A$104,0)),"открыть"),""))</f>
        <v/>
      </c>
    </row>
    <row r="106" ht="15.75" customHeight="1">
      <c r="A106" s="23" t="str">
        <f>IF('Процессы'!A106="","",'Процессы'!A106)</f>
        <v/>
      </c>
      <c r="B106" s="23" t="str">
        <f t="array" ref="B106">IF($A106="","",IFERROR(INDEX('Система'!$B$5:$B$14,MATCH('Процессы'!B106,'Система'!$A$5:$A$14,0)),"⚠ ID системы"))</f>
        <v/>
      </c>
      <c r="C106" s="23" t="str">
        <f>IF($A106="","",'Процессы'!C106)</f>
        <v/>
      </c>
      <c r="D106" s="23" t="str">
        <f>IF($A106="","",'Процессы'!E106)</f>
        <v/>
      </c>
      <c r="E106" s="23" t="str">
        <f>IF($A106="","",'Процессы'!F106)</f>
        <v/>
      </c>
      <c r="F106" s="23" t="str">
        <f>IF($A106="","",'Процессы'!H106)</f>
        <v/>
      </c>
      <c r="G106" s="23" t="str">
        <f>IF($A106="","",'Процессы'!I106)</f>
        <v/>
      </c>
      <c r="H106" s="23" t="str">
        <f>IF($A106="","",'Процессы'!J106)</f>
        <v/>
      </c>
      <c r="I106" s="23" t="str">
        <f t="array" ref="I106">IF($A106="","",IFERROR(INDEX('Позиции'!$C$5:$C$204,MATCH('Процессы'!M106,'Позиции'!$A$5:$A$204,0)),"⚠ ID позиции"))</f>
        <v/>
      </c>
      <c r="J106" s="23" t="str">
        <f>IF($A106="","",COUNTIF('Действия'!$B$5:$B$304,$A106))</f>
        <v/>
      </c>
      <c r="K106" s="23" t="str">
        <f>IF($A106="","",COUNTIF('Переходы'!$B$5:$B$304,$A106))</f>
        <v/>
      </c>
      <c r="L106" s="23" t="str">
        <f>IF($A106="","",'Процессы'!O106)</f>
        <v/>
      </c>
      <c r="M106" s="23" t="str">
        <f>IF($A106="","",'Процессы'!P106)</f>
        <v/>
      </c>
      <c r="N106" s="23" t="str">
        <f>IF($A106="","",'Процессы'!Q106)</f>
        <v/>
      </c>
      <c r="O106" s="23" t="str">
        <f>IF($A106="","",'Процессы'!R106)</f>
        <v/>
      </c>
      <c r="P106" s="23" t="str">
        <f>IF($A106="","",'Процессы'!S106)</f>
        <v/>
      </c>
      <c r="Q106" s="23" t="str">
        <f>IF($A106="","",IF(COUNTA('Процессы'!B106,'Процессы'!E106,'Процессы'!F106,'Процессы'!H106,'Процессы'!I106,'Процессы'!J106,'Процессы'!M106,'Процессы'!O106,'Процессы'!P106,'Процессы'!R106,'Процессы'!S106)=11,"Готово","Есть пробелы"))</f>
        <v/>
      </c>
      <c r="R106" s="23" t="str">
        <f t="array" ref="R106">IF($A106="","",IFERROR(INDEX('Диаграммы'!$A$5:$A$104,MATCH($A106,'Диаграммы'!$B$5:$B$104,0)),"не настроена"))</f>
        <v/>
      </c>
      <c r="S106" s="23" t="str">
        <f t="array" ref="S106">IF(OR($A106="",$R106="не настроена"),"",IFERROR(INDEX('Диаграммы'!$M$5:$M$104,MATCH($R106,'Диаграммы'!$A$5:$A$104,0)),""))</f>
        <v/>
      </c>
      <c r="T106" s="23" t="str">
        <f t="array" ref="T106">IF(OR($A106="",$R106="не настроена"),"",IFERROR(HYPERLINK(INDEX('Диаграммы'!$O$5:$O$104,MATCH($R106,'Диаграммы'!$A$5:$A$104,0)),"открыть"),""))</f>
        <v/>
      </c>
    </row>
    <row r="107" ht="15.75" customHeight="1">
      <c r="A107" s="23" t="str">
        <f>IF('Процессы'!A107="","",'Процессы'!A107)</f>
        <v/>
      </c>
      <c r="B107" s="23" t="str">
        <f t="array" ref="B107">IF($A107="","",IFERROR(INDEX('Система'!$B$5:$B$14,MATCH('Процессы'!B107,'Система'!$A$5:$A$14,0)),"⚠ ID системы"))</f>
        <v/>
      </c>
      <c r="C107" s="23" t="str">
        <f>IF($A107="","",'Процессы'!C107)</f>
        <v/>
      </c>
      <c r="D107" s="23" t="str">
        <f>IF($A107="","",'Процессы'!E107)</f>
        <v/>
      </c>
      <c r="E107" s="23" t="str">
        <f>IF($A107="","",'Процессы'!F107)</f>
        <v/>
      </c>
      <c r="F107" s="23" t="str">
        <f>IF($A107="","",'Процессы'!H107)</f>
        <v/>
      </c>
      <c r="G107" s="23" t="str">
        <f>IF($A107="","",'Процессы'!I107)</f>
        <v/>
      </c>
      <c r="H107" s="23" t="str">
        <f>IF($A107="","",'Процессы'!J107)</f>
        <v/>
      </c>
      <c r="I107" s="23" t="str">
        <f t="array" ref="I107">IF($A107="","",IFERROR(INDEX('Позиции'!$C$5:$C$204,MATCH('Процессы'!M107,'Позиции'!$A$5:$A$204,0)),"⚠ ID позиции"))</f>
        <v/>
      </c>
      <c r="J107" s="23" t="str">
        <f>IF($A107="","",COUNTIF('Действия'!$B$5:$B$304,$A107))</f>
        <v/>
      </c>
      <c r="K107" s="23" t="str">
        <f>IF($A107="","",COUNTIF('Переходы'!$B$5:$B$304,$A107))</f>
        <v/>
      </c>
      <c r="L107" s="23" t="str">
        <f>IF($A107="","",'Процессы'!O107)</f>
        <v/>
      </c>
      <c r="M107" s="23" t="str">
        <f>IF($A107="","",'Процессы'!P107)</f>
        <v/>
      </c>
      <c r="N107" s="23" t="str">
        <f>IF($A107="","",'Процессы'!Q107)</f>
        <v/>
      </c>
      <c r="O107" s="23" t="str">
        <f>IF($A107="","",'Процессы'!R107)</f>
        <v/>
      </c>
      <c r="P107" s="23" t="str">
        <f>IF($A107="","",'Процессы'!S107)</f>
        <v/>
      </c>
      <c r="Q107" s="23" t="str">
        <f>IF($A107="","",IF(COUNTA('Процессы'!B107,'Процессы'!E107,'Процессы'!F107,'Процессы'!H107,'Процессы'!I107,'Процессы'!J107,'Процессы'!M107,'Процессы'!O107,'Процессы'!P107,'Процессы'!R107,'Процессы'!S107)=11,"Готово","Есть пробелы"))</f>
        <v/>
      </c>
      <c r="R107" s="23" t="str">
        <f t="array" ref="R107">IF($A107="","",IFERROR(INDEX('Диаграммы'!$A$5:$A$104,MATCH($A107,'Диаграммы'!$B$5:$B$104,0)),"не настроена"))</f>
        <v/>
      </c>
      <c r="S107" s="23" t="str">
        <f t="array" ref="S107">IF(OR($A107="",$R107="не настроена"),"",IFERROR(INDEX('Диаграммы'!$M$5:$M$104,MATCH($R107,'Диаграммы'!$A$5:$A$104,0)),""))</f>
        <v/>
      </c>
      <c r="T107" s="23" t="str">
        <f t="array" ref="T107">IF(OR($A107="",$R107="не настроена"),"",IFERROR(HYPERLINK(INDEX('Диаграммы'!$O$5:$O$104,MATCH($R107,'Диаграммы'!$A$5:$A$104,0)),"открыть"),""))</f>
        <v/>
      </c>
    </row>
    <row r="108" ht="15.75" customHeight="1">
      <c r="A108" s="23" t="str">
        <f>IF('Процессы'!A108="","",'Процессы'!A108)</f>
        <v/>
      </c>
      <c r="B108" s="23" t="str">
        <f t="array" ref="B108">IF($A108="","",IFERROR(INDEX('Система'!$B$5:$B$14,MATCH('Процессы'!B108,'Система'!$A$5:$A$14,0)),"⚠ ID системы"))</f>
        <v/>
      </c>
      <c r="C108" s="23" t="str">
        <f>IF($A108="","",'Процессы'!C108)</f>
        <v/>
      </c>
      <c r="D108" s="23" t="str">
        <f>IF($A108="","",'Процессы'!E108)</f>
        <v/>
      </c>
      <c r="E108" s="23" t="str">
        <f>IF($A108="","",'Процессы'!F108)</f>
        <v/>
      </c>
      <c r="F108" s="23" t="str">
        <f>IF($A108="","",'Процессы'!H108)</f>
        <v/>
      </c>
      <c r="G108" s="23" t="str">
        <f>IF($A108="","",'Процессы'!I108)</f>
        <v/>
      </c>
      <c r="H108" s="23" t="str">
        <f>IF($A108="","",'Процессы'!J108)</f>
        <v/>
      </c>
      <c r="I108" s="23" t="str">
        <f t="array" ref="I108">IF($A108="","",IFERROR(INDEX('Позиции'!$C$5:$C$204,MATCH('Процессы'!M108,'Позиции'!$A$5:$A$204,0)),"⚠ ID позиции"))</f>
        <v/>
      </c>
      <c r="J108" s="23" t="str">
        <f>IF($A108="","",COUNTIF('Действия'!$B$5:$B$304,$A108))</f>
        <v/>
      </c>
      <c r="K108" s="23" t="str">
        <f>IF($A108="","",COUNTIF('Переходы'!$B$5:$B$304,$A108))</f>
        <v/>
      </c>
      <c r="L108" s="23" t="str">
        <f>IF($A108="","",'Процессы'!O108)</f>
        <v/>
      </c>
      <c r="M108" s="23" t="str">
        <f>IF($A108="","",'Процессы'!P108)</f>
        <v/>
      </c>
      <c r="N108" s="23" t="str">
        <f>IF($A108="","",'Процессы'!Q108)</f>
        <v/>
      </c>
      <c r="O108" s="23" t="str">
        <f>IF($A108="","",'Процессы'!R108)</f>
        <v/>
      </c>
      <c r="P108" s="23" t="str">
        <f>IF($A108="","",'Процессы'!S108)</f>
        <v/>
      </c>
      <c r="Q108" s="23" t="str">
        <f>IF($A108="","",IF(COUNTA('Процессы'!B108,'Процессы'!E108,'Процессы'!F108,'Процессы'!H108,'Процессы'!I108,'Процессы'!J108,'Процессы'!M108,'Процессы'!O108,'Процессы'!P108,'Процессы'!R108,'Процессы'!S108)=11,"Готово","Есть пробелы"))</f>
        <v/>
      </c>
      <c r="R108" s="23" t="str">
        <f t="array" ref="R108">IF($A108="","",IFERROR(INDEX('Диаграммы'!$A$5:$A$104,MATCH($A108,'Диаграммы'!$B$5:$B$104,0)),"не настроена"))</f>
        <v/>
      </c>
      <c r="S108" s="23" t="str">
        <f t="array" ref="S108">IF(OR($A108="",$R108="не настроена"),"",IFERROR(INDEX('Диаграммы'!$M$5:$M$104,MATCH($R108,'Диаграммы'!$A$5:$A$104,0)),""))</f>
        <v/>
      </c>
      <c r="T108" s="23" t="str">
        <f t="array" ref="T108">IF(OR($A108="",$R108="не настроена"),"",IFERROR(HYPERLINK(INDEX('Диаграммы'!$O$5:$O$104,MATCH($R108,'Диаграммы'!$A$5:$A$104,0)),"открыть"),""))</f>
        <v/>
      </c>
    </row>
    <row r="109" ht="15.75" customHeight="1">
      <c r="A109" s="23" t="str">
        <f>IF('Процессы'!A109="","",'Процессы'!A109)</f>
        <v/>
      </c>
      <c r="B109" s="23" t="str">
        <f t="array" ref="B109">IF($A109="","",IFERROR(INDEX('Система'!$B$5:$B$14,MATCH('Процессы'!B109,'Система'!$A$5:$A$14,0)),"⚠ ID системы"))</f>
        <v/>
      </c>
      <c r="C109" s="23" t="str">
        <f>IF($A109="","",'Процессы'!C109)</f>
        <v/>
      </c>
      <c r="D109" s="23" t="str">
        <f>IF($A109="","",'Процессы'!E109)</f>
        <v/>
      </c>
      <c r="E109" s="23" t="str">
        <f>IF($A109="","",'Процессы'!F109)</f>
        <v/>
      </c>
      <c r="F109" s="23" t="str">
        <f>IF($A109="","",'Процессы'!H109)</f>
        <v/>
      </c>
      <c r="G109" s="23" t="str">
        <f>IF($A109="","",'Процессы'!I109)</f>
        <v/>
      </c>
      <c r="H109" s="23" t="str">
        <f>IF($A109="","",'Процессы'!J109)</f>
        <v/>
      </c>
      <c r="I109" s="23" t="str">
        <f t="array" ref="I109">IF($A109="","",IFERROR(INDEX('Позиции'!$C$5:$C$204,MATCH('Процессы'!M109,'Позиции'!$A$5:$A$204,0)),"⚠ ID позиции"))</f>
        <v/>
      </c>
      <c r="J109" s="23" t="str">
        <f>IF($A109="","",COUNTIF('Действия'!$B$5:$B$304,$A109))</f>
        <v/>
      </c>
      <c r="K109" s="23" t="str">
        <f>IF($A109="","",COUNTIF('Переходы'!$B$5:$B$304,$A109))</f>
        <v/>
      </c>
      <c r="L109" s="23" t="str">
        <f>IF($A109="","",'Процессы'!O109)</f>
        <v/>
      </c>
      <c r="M109" s="23" t="str">
        <f>IF($A109="","",'Процессы'!P109)</f>
        <v/>
      </c>
      <c r="N109" s="23" t="str">
        <f>IF($A109="","",'Процессы'!Q109)</f>
        <v/>
      </c>
      <c r="O109" s="23" t="str">
        <f>IF($A109="","",'Процессы'!R109)</f>
        <v/>
      </c>
      <c r="P109" s="23" t="str">
        <f>IF($A109="","",'Процессы'!S109)</f>
        <v/>
      </c>
      <c r="Q109" s="23" t="str">
        <f>IF($A109="","",IF(COUNTA('Процессы'!B109,'Процессы'!E109,'Процессы'!F109,'Процессы'!H109,'Процессы'!I109,'Процессы'!J109,'Процессы'!M109,'Процессы'!O109,'Процессы'!P109,'Процессы'!R109,'Процессы'!S109)=11,"Готово","Есть пробелы"))</f>
        <v/>
      </c>
      <c r="R109" s="23" t="str">
        <f t="array" ref="R109">IF($A109="","",IFERROR(INDEX('Диаграммы'!$A$5:$A$104,MATCH($A109,'Диаграммы'!$B$5:$B$104,0)),"не настроена"))</f>
        <v/>
      </c>
      <c r="S109" s="23" t="str">
        <f t="array" ref="S109">IF(OR($A109="",$R109="не настроена"),"",IFERROR(INDEX('Диаграммы'!$M$5:$M$104,MATCH($R109,'Диаграммы'!$A$5:$A$104,0)),""))</f>
        <v/>
      </c>
      <c r="T109" s="23" t="str">
        <f t="array" ref="T109">IF(OR($A109="",$R109="не настроена"),"",IFERROR(HYPERLINK(INDEX('Диаграммы'!$O$5:$O$104,MATCH($R109,'Диаграммы'!$A$5:$A$104,0)),"открыть"),""))</f>
        <v/>
      </c>
    </row>
    <row r="110" ht="15.75" customHeight="1">
      <c r="A110" s="23" t="str">
        <f>IF('Процессы'!A110="","",'Процессы'!A110)</f>
        <v/>
      </c>
      <c r="B110" s="23" t="str">
        <f t="array" ref="B110">IF($A110="","",IFERROR(INDEX('Система'!$B$5:$B$14,MATCH('Процессы'!B110,'Система'!$A$5:$A$14,0)),"⚠ ID системы"))</f>
        <v/>
      </c>
      <c r="C110" s="23" t="str">
        <f>IF($A110="","",'Процессы'!C110)</f>
        <v/>
      </c>
      <c r="D110" s="23" t="str">
        <f>IF($A110="","",'Процессы'!E110)</f>
        <v/>
      </c>
      <c r="E110" s="23" t="str">
        <f>IF($A110="","",'Процессы'!F110)</f>
        <v/>
      </c>
      <c r="F110" s="23" t="str">
        <f>IF($A110="","",'Процессы'!H110)</f>
        <v/>
      </c>
      <c r="G110" s="23" t="str">
        <f>IF($A110="","",'Процессы'!I110)</f>
        <v/>
      </c>
      <c r="H110" s="23" t="str">
        <f>IF($A110="","",'Процессы'!J110)</f>
        <v/>
      </c>
      <c r="I110" s="23" t="str">
        <f t="array" ref="I110">IF($A110="","",IFERROR(INDEX('Позиции'!$C$5:$C$204,MATCH('Процессы'!M110,'Позиции'!$A$5:$A$204,0)),"⚠ ID позиции"))</f>
        <v/>
      </c>
      <c r="J110" s="23" t="str">
        <f>IF($A110="","",COUNTIF('Действия'!$B$5:$B$304,$A110))</f>
        <v/>
      </c>
      <c r="K110" s="23" t="str">
        <f>IF($A110="","",COUNTIF('Переходы'!$B$5:$B$304,$A110))</f>
        <v/>
      </c>
      <c r="L110" s="23" t="str">
        <f>IF($A110="","",'Процессы'!O110)</f>
        <v/>
      </c>
      <c r="M110" s="23" t="str">
        <f>IF($A110="","",'Процессы'!P110)</f>
        <v/>
      </c>
      <c r="N110" s="23" t="str">
        <f>IF($A110="","",'Процессы'!Q110)</f>
        <v/>
      </c>
      <c r="O110" s="23" t="str">
        <f>IF($A110="","",'Процессы'!R110)</f>
        <v/>
      </c>
      <c r="P110" s="23" t="str">
        <f>IF($A110="","",'Процессы'!S110)</f>
        <v/>
      </c>
      <c r="Q110" s="23" t="str">
        <f>IF($A110="","",IF(COUNTA('Процессы'!B110,'Процессы'!E110,'Процессы'!F110,'Процессы'!H110,'Процессы'!I110,'Процессы'!J110,'Процессы'!M110,'Процессы'!O110,'Процессы'!P110,'Процессы'!R110,'Процессы'!S110)=11,"Готово","Есть пробелы"))</f>
        <v/>
      </c>
      <c r="R110" s="23" t="str">
        <f t="array" ref="R110">IF($A110="","",IFERROR(INDEX('Диаграммы'!$A$5:$A$104,MATCH($A110,'Диаграммы'!$B$5:$B$104,0)),"не настроена"))</f>
        <v/>
      </c>
      <c r="S110" s="23" t="str">
        <f t="array" ref="S110">IF(OR($A110="",$R110="не настроена"),"",IFERROR(INDEX('Диаграммы'!$M$5:$M$104,MATCH($R110,'Диаграммы'!$A$5:$A$104,0)),""))</f>
        <v/>
      </c>
      <c r="T110" s="23" t="str">
        <f t="array" ref="T110">IF(OR($A110="",$R110="не настроена"),"",IFERROR(HYPERLINK(INDEX('Диаграммы'!$O$5:$O$104,MATCH($R110,'Диаграммы'!$A$5:$A$104,0)),"открыть"),""))</f>
        <v/>
      </c>
    </row>
    <row r="111" ht="15.75" customHeight="1">
      <c r="A111" s="23" t="str">
        <f>IF('Процессы'!A111="","",'Процессы'!A111)</f>
        <v/>
      </c>
      <c r="B111" s="23" t="str">
        <f t="array" ref="B111">IF($A111="","",IFERROR(INDEX('Система'!$B$5:$B$14,MATCH('Процессы'!B111,'Система'!$A$5:$A$14,0)),"⚠ ID системы"))</f>
        <v/>
      </c>
      <c r="C111" s="23" t="str">
        <f>IF($A111="","",'Процессы'!C111)</f>
        <v/>
      </c>
      <c r="D111" s="23" t="str">
        <f>IF($A111="","",'Процессы'!E111)</f>
        <v/>
      </c>
      <c r="E111" s="23" t="str">
        <f>IF($A111="","",'Процессы'!F111)</f>
        <v/>
      </c>
      <c r="F111" s="23" t="str">
        <f>IF($A111="","",'Процессы'!H111)</f>
        <v/>
      </c>
      <c r="G111" s="23" t="str">
        <f>IF($A111="","",'Процессы'!I111)</f>
        <v/>
      </c>
      <c r="H111" s="23" t="str">
        <f>IF($A111="","",'Процессы'!J111)</f>
        <v/>
      </c>
      <c r="I111" s="23" t="str">
        <f t="array" ref="I111">IF($A111="","",IFERROR(INDEX('Позиции'!$C$5:$C$204,MATCH('Процессы'!M111,'Позиции'!$A$5:$A$204,0)),"⚠ ID позиции"))</f>
        <v/>
      </c>
      <c r="J111" s="23" t="str">
        <f>IF($A111="","",COUNTIF('Действия'!$B$5:$B$304,$A111))</f>
        <v/>
      </c>
      <c r="K111" s="23" t="str">
        <f>IF($A111="","",COUNTIF('Переходы'!$B$5:$B$304,$A111))</f>
        <v/>
      </c>
      <c r="L111" s="23" t="str">
        <f>IF($A111="","",'Процессы'!O111)</f>
        <v/>
      </c>
      <c r="M111" s="23" t="str">
        <f>IF($A111="","",'Процессы'!P111)</f>
        <v/>
      </c>
      <c r="N111" s="23" t="str">
        <f>IF($A111="","",'Процессы'!Q111)</f>
        <v/>
      </c>
      <c r="O111" s="23" t="str">
        <f>IF($A111="","",'Процессы'!R111)</f>
        <v/>
      </c>
      <c r="P111" s="23" t="str">
        <f>IF($A111="","",'Процессы'!S111)</f>
        <v/>
      </c>
      <c r="Q111" s="23" t="str">
        <f>IF($A111="","",IF(COUNTA('Процессы'!B111,'Процессы'!E111,'Процессы'!F111,'Процессы'!H111,'Процессы'!I111,'Процессы'!J111,'Процессы'!M111,'Процессы'!O111,'Процессы'!P111,'Процессы'!R111,'Процессы'!S111)=11,"Готово","Есть пробелы"))</f>
        <v/>
      </c>
      <c r="R111" s="23" t="str">
        <f t="array" ref="R111">IF($A111="","",IFERROR(INDEX('Диаграммы'!$A$5:$A$104,MATCH($A111,'Диаграммы'!$B$5:$B$104,0)),"не настроена"))</f>
        <v/>
      </c>
      <c r="S111" s="23" t="str">
        <f t="array" ref="S111">IF(OR($A111="",$R111="не настроена"),"",IFERROR(INDEX('Диаграммы'!$M$5:$M$104,MATCH($R111,'Диаграммы'!$A$5:$A$104,0)),""))</f>
        <v/>
      </c>
      <c r="T111" s="23" t="str">
        <f t="array" ref="T111">IF(OR($A111="",$R111="не настроена"),"",IFERROR(HYPERLINK(INDEX('Диаграммы'!$O$5:$O$104,MATCH($R111,'Диаграммы'!$A$5:$A$104,0)),"открыть"),""))</f>
        <v/>
      </c>
    </row>
    <row r="112" ht="15.75" customHeight="1">
      <c r="A112" s="23" t="str">
        <f>IF('Процессы'!A112="","",'Процессы'!A112)</f>
        <v/>
      </c>
      <c r="B112" s="23" t="str">
        <f t="array" ref="B112">IF($A112="","",IFERROR(INDEX('Система'!$B$5:$B$14,MATCH('Процессы'!B112,'Система'!$A$5:$A$14,0)),"⚠ ID системы"))</f>
        <v/>
      </c>
      <c r="C112" s="23" t="str">
        <f>IF($A112="","",'Процессы'!C112)</f>
        <v/>
      </c>
      <c r="D112" s="23" t="str">
        <f>IF($A112="","",'Процессы'!E112)</f>
        <v/>
      </c>
      <c r="E112" s="23" t="str">
        <f>IF($A112="","",'Процессы'!F112)</f>
        <v/>
      </c>
      <c r="F112" s="23" t="str">
        <f>IF($A112="","",'Процессы'!H112)</f>
        <v/>
      </c>
      <c r="G112" s="23" t="str">
        <f>IF($A112="","",'Процессы'!I112)</f>
        <v/>
      </c>
      <c r="H112" s="23" t="str">
        <f>IF($A112="","",'Процессы'!J112)</f>
        <v/>
      </c>
      <c r="I112" s="23" t="str">
        <f t="array" ref="I112">IF($A112="","",IFERROR(INDEX('Позиции'!$C$5:$C$204,MATCH('Процессы'!M112,'Позиции'!$A$5:$A$204,0)),"⚠ ID позиции"))</f>
        <v/>
      </c>
      <c r="J112" s="23" t="str">
        <f>IF($A112="","",COUNTIF('Действия'!$B$5:$B$304,$A112))</f>
        <v/>
      </c>
      <c r="K112" s="23" t="str">
        <f>IF($A112="","",COUNTIF('Переходы'!$B$5:$B$304,$A112))</f>
        <v/>
      </c>
      <c r="L112" s="23" t="str">
        <f>IF($A112="","",'Процессы'!O112)</f>
        <v/>
      </c>
      <c r="M112" s="23" t="str">
        <f>IF($A112="","",'Процессы'!P112)</f>
        <v/>
      </c>
      <c r="N112" s="23" t="str">
        <f>IF($A112="","",'Процессы'!Q112)</f>
        <v/>
      </c>
      <c r="O112" s="23" t="str">
        <f>IF($A112="","",'Процессы'!R112)</f>
        <v/>
      </c>
      <c r="P112" s="23" t="str">
        <f>IF($A112="","",'Процессы'!S112)</f>
        <v/>
      </c>
      <c r="Q112" s="23" t="str">
        <f>IF($A112="","",IF(COUNTA('Процессы'!B112,'Процессы'!E112,'Процессы'!F112,'Процессы'!H112,'Процессы'!I112,'Процессы'!J112,'Процессы'!M112,'Процессы'!O112,'Процессы'!P112,'Процессы'!R112,'Процессы'!S112)=11,"Готово","Есть пробелы"))</f>
        <v/>
      </c>
      <c r="R112" s="23" t="str">
        <f t="array" ref="R112">IF($A112="","",IFERROR(INDEX('Диаграммы'!$A$5:$A$104,MATCH($A112,'Диаграммы'!$B$5:$B$104,0)),"не настроена"))</f>
        <v/>
      </c>
      <c r="S112" s="23" t="str">
        <f t="array" ref="S112">IF(OR($A112="",$R112="не настроена"),"",IFERROR(INDEX('Диаграммы'!$M$5:$M$104,MATCH($R112,'Диаграммы'!$A$5:$A$104,0)),""))</f>
        <v/>
      </c>
      <c r="T112" s="23" t="str">
        <f t="array" ref="T112">IF(OR($A112="",$R112="не настроена"),"",IFERROR(HYPERLINK(INDEX('Диаграммы'!$O$5:$O$104,MATCH($R112,'Диаграммы'!$A$5:$A$104,0)),"открыть"),""))</f>
        <v/>
      </c>
    </row>
    <row r="113" ht="15.75" customHeight="1">
      <c r="A113" s="23" t="str">
        <f>IF('Процессы'!A113="","",'Процессы'!A113)</f>
        <v/>
      </c>
      <c r="B113" s="23" t="str">
        <f t="array" ref="B113">IF($A113="","",IFERROR(INDEX('Система'!$B$5:$B$14,MATCH('Процессы'!B113,'Система'!$A$5:$A$14,0)),"⚠ ID системы"))</f>
        <v/>
      </c>
      <c r="C113" s="23" t="str">
        <f>IF($A113="","",'Процессы'!C113)</f>
        <v/>
      </c>
      <c r="D113" s="23" t="str">
        <f>IF($A113="","",'Процессы'!E113)</f>
        <v/>
      </c>
      <c r="E113" s="23" t="str">
        <f>IF($A113="","",'Процессы'!F113)</f>
        <v/>
      </c>
      <c r="F113" s="23" t="str">
        <f>IF($A113="","",'Процессы'!H113)</f>
        <v/>
      </c>
      <c r="G113" s="23" t="str">
        <f>IF($A113="","",'Процессы'!I113)</f>
        <v/>
      </c>
      <c r="H113" s="23" t="str">
        <f>IF($A113="","",'Процессы'!J113)</f>
        <v/>
      </c>
      <c r="I113" s="23" t="str">
        <f t="array" ref="I113">IF($A113="","",IFERROR(INDEX('Позиции'!$C$5:$C$204,MATCH('Процессы'!M113,'Позиции'!$A$5:$A$204,0)),"⚠ ID позиции"))</f>
        <v/>
      </c>
      <c r="J113" s="23" t="str">
        <f>IF($A113="","",COUNTIF('Действия'!$B$5:$B$304,$A113))</f>
        <v/>
      </c>
      <c r="K113" s="23" t="str">
        <f>IF($A113="","",COUNTIF('Переходы'!$B$5:$B$304,$A113))</f>
        <v/>
      </c>
      <c r="L113" s="23" t="str">
        <f>IF($A113="","",'Процессы'!O113)</f>
        <v/>
      </c>
      <c r="M113" s="23" t="str">
        <f>IF($A113="","",'Процессы'!P113)</f>
        <v/>
      </c>
      <c r="N113" s="23" t="str">
        <f>IF($A113="","",'Процессы'!Q113)</f>
        <v/>
      </c>
      <c r="O113" s="23" t="str">
        <f>IF($A113="","",'Процессы'!R113)</f>
        <v/>
      </c>
      <c r="P113" s="23" t="str">
        <f>IF($A113="","",'Процессы'!S113)</f>
        <v/>
      </c>
      <c r="Q113" s="23" t="str">
        <f>IF($A113="","",IF(COUNTA('Процессы'!B113,'Процессы'!E113,'Процессы'!F113,'Процессы'!H113,'Процессы'!I113,'Процессы'!J113,'Процессы'!M113,'Процессы'!O113,'Процессы'!P113,'Процессы'!R113,'Процессы'!S113)=11,"Готово","Есть пробелы"))</f>
        <v/>
      </c>
      <c r="R113" s="23" t="str">
        <f t="array" ref="R113">IF($A113="","",IFERROR(INDEX('Диаграммы'!$A$5:$A$104,MATCH($A113,'Диаграммы'!$B$5:$B$104,0)),"не настроена"))</f>
        <v/>
      </c>
      <c r="S113" s="23" t="str">
        <f t="array" ref="S113">IF(OR($A113="",$R113="не настроена"),"",IFERROR(INDEX('Диаграммы'!$M$5:$M$104,MATCH($R113,'Диаграммы'!$A$5:$A$104,0)),""))</f>
        <v/>
      </c>
      <c r="T113" s="23" t="str">
        <f t="array" ref="T113">IF(OR($A113="",$R113="не настроена"),"",IFERROR(HYPERLINK(INDEX('Диаграммы'!$O$5:$O$104,MATCH($R113,'Диаграммы'!$A$5:$A$104,0)),"открыть"),""))</f>
        <v/>
      </c>
    </row>
    <row r="114" ht="15.75" customHeight="1">
      <c r="A114" s="23" t="str">
        <f>IF('Процессы'!A114="","",'Процессы'!A114)</f>
        <v/>
      </c>
      <c r="B114" s="23" t="str">
        <f t="array" ref="B114">IF($A114="","",IFERROR(INDEX('Система'!$B$5:$B$14,MATCH('Процессы'!B114,'Система'!$A$5:$A$14,0)),"⚠ ID системы"))</f>
        <v/>
      </c>
      <c r="C114" s="23" t="str">
        <f>IF($A114="","",'Процессы'!C114)</f>
        <v/>
      </c>
      <c r="D114" s="23" t="str">
        <f>IF($A114="","",'Процессы'!E114)</f>
        <v/>
      </c>
      <c r="E114" s="23" t="str">
        <f>IF($A114="","",'Процессы'!F114)</f>
        <v/>
      </c>
      <c r="F114" s="23" t="str">
        <f>IF($A114="","",'Процессы'!H114)</f>
        <v/>
      </c>
      <c r="G114" s="23" t="str">
        <f>IF($A114="","",'Процессы'!I114)</f>
        <v/>
      </c>
      <c r="H114" s="23" t="str">
        <f>IF($A114="","",'Процессы'!J114)</f>
        <v/>
      </c>
      <c r="I114" s="23" t="str">
        <f t="array" ref="I114">IF($A114="","",IFERROR(INDEX('Позиции'!$C$5:$C$204,MATCH('Процессы'!M114,'Позиции'!$A$5:$A$204,0)),"⚠ ID позиции"))</f>
        <v/>
      </c>
      <c r="J114" s="23" t="str">
        <f>IF($A114="","",COUNTIF('Действия'!$B$5:$B$304,$A114))</f>
        <v/>
      </c>
      <c r="K114" s="23" t="str">
        <f>IF($A114="","",COUNTIF('Переходы'!$B$5:$B$304,$A114))</f>
        <v/>
      </c>
      <c r="L114" s="23" t="str">
        <f>IF($A114="","",'Процессы'!O114)</f>
        <v/>
      </c>
      <c r="M114" s="23" t="str">
        <f>IF($A114="","",'Процессы'!P114)</f>
        <v/>
      </c>
      <c r="N114" s="23" t="str">
        <f>IF($A114="","",'Процессы'!Q114)</f>
        <v/>
      </c>
      <c r="O114" s="23" t="str">
        <f>IF($A114="","",'Процессы'!R114)</f>
        <v/>
      </c>
      <c r="P114" s="23" t="str">
        <f>IF($A114="","",'Процессы'!S114)</f>
        <v/>
      </c>
      <c r="Q114" s="23" t="str">
        <f>IF($A114="","",IF(COUNTA('Процессы'!B114,'Процессы'!E114,'Процессы'!F114,'Процессы'!H114,'Процессы'!I114,'Процессы'!J114,'Процессы'!M114,'Процессы'!O114,'Процессы'!P114,'Процессы'!R114,'Процессы'!S114)=11,"Готово","Есть пробелы"))</f>
        <v/>
      </c>
      <c r="R114" s="23" t="str">
        <f t="array" ref="R114">IF($A114="","",IFERROR(INDEX('Диаграммы'!$A$5:$A$104,MATCH($A114,'Диаграммы'!$B$5:$B$104,0)),"не настроена"))</f>
        <v/>
      </c>
      <c r="S114" s="23" t="str">
        <f t="array" ref="S114">IF(OR($A114="",$R114="не настроена"),"",IFERROR(INDEX('Диаграммы'!$M$5:$M$104,MATCH($R114,'Диаграммы'!$A$5:$A$104,0)),""))</f>
        <v/>
      </c>
      <c r="T114" s="23" t="str">
        <f t="array" ref="T114">IF(OR($A114="",$R114="не настроена"),"",IFERROR(HYPERLINK(INDEX('Диаграммы'!$O$5:$O$104,MATCH($R114,'Диаграммы'!$A$5:$A$104,0)),"открыть"),""))</f>
        <v/>
      </c>
    </row>
    <row r="115" ht="15.75" customHeight="1">
      <c r="A115" s="23" t="str">
        <f>IF('Процессы'!A115="","",'Процессы'!A115)</f>
        <v/>
      </c>
      <c r="B115" s="23" t="str">
        <f t="array" ref="B115">IF($A115="","",IFERROR(INDEX('Система'!$B$5:$B$14,MATCH('Процессы'!B115,'Система'!$A$5:$A$14,0)),"⚠ ID системы"))</f>
        <v/>
      </c>
      <c r="C115" s="23" t="str">
        <f>IF($A115="","",'Процессы'!C115)</f>
        <v/>
      </c>
      <c r="D115" s="23" t="str">
        <f>IF($A115="","",'Процессы'!E115)</f>
        <v/>
      </c>
      <c r="E115" s="23" t="str">
        <f>IF($A115="","",'Процессы'!F115)</f>
        <v/>
      </c>
      <c r="F115" s="23" t="str">
        <f>IF($A115="","",'Процессы'!H115)</f>
        <v/>
      </c>
      <c r="G115" s="23" t="str">
        <f>IF($A115="","",'Процессы'!I115)</f>
        <v/>
      </c>
      <c r="H115" s="23" t="str">
        <f>IF($A115="","",'Процессы'!J115)</f>
        <v/>
      </c>
      <c r="I115" s="23" t="str">
        <f t="array" ref="I115">IF($A115="","",IFERROR(INDEX('Позиции'!$C$5:$C$204,MATCH('Процессы'!M115,'Позиции'!$A$5:$A$204,0)),"⚠ ID позиции"))</f>
        <v/>
      </c>
      <c r="J115" s="23" t="str">
        <f>IF($A115="","",COUNTIF('Действия'!$B$5:$B$304,$A115))</f>
        <v/>
      </c>
      <c r="K115" s="23" t="str">
        <f>IF($A115="","",COUNTIF('Переходы'!$B$5:$B$304,$A115))</f>
        <v/>
      </c>
      <c r="L115" s="23" t="str">
        <f>IF($A115="","",'Процессы'!O115)</f>
        <v/>
      </c>
      <c r="M115" s="23" t="str">
        <f>IF($A115="","",'Процессы'!P115)</f>
        <v/>
      </c>
      <c r="N115" s="23" t="str">
        <f>IF($A115="","",'Процессы'!Q115)</f>
        <v/>
      </c>
      <c r="O115" s="23" t="str">
        <f>IF($A115="","",'Процессы'!R115)</f>
        <v/>
      </c>
      <c r="P115" s="23" t="str">
        <f>IF($A115="","",'Процессы'!S115)</f>
        <v/>
      </c>
      <c r="Q115" s="23" t="str">
        <f>IF($A115="","",IF(COUNTA('Процессы'!B115,'Процессы'!E115,'Процессы'!F115,'Процессы'!H115,'Процессы'!I115,'Процессы'!J115,'Процессы'!M115,'Процессы'!O115,'Процессы'!P115,'Процессы'!R115,'Процессы'!S115)=11,"Готово","Есть пробелы"))</f>
        <v/>
      </c>
      <c r="R115" s="23" t="str">
        <f t="array" ref="R115">IF($A115="","",IFERROR(INDEX('Диаграммы'!$A$5:$A$104,MATCH($A115,'Диаграммы'!$B$5:$B$104,0)),"не настроена"))</f>
        <v/>
      </c>
      <c r="S115" s="23" t="str">
        <f t="array" ref="S115">IF(OR($A115="",$R115="не настроена"),"",IFERROR(INDEX('Диаграммы'!$M$5:$M$104,MATCH($R115,'Диаграммы'!$A$5:$A$104,0)),""))</f>
        <v/>
      </c>
      <c r="T115" s="23" t="str">
        <f t="array" ref="T115">IF(OR($A115="",$R115="не настроена"),"",IFERROR(HYPERLINK(INDEX('Диаграммы'!$O$5:$O$104,MATCH($R115,'Диаграммы'!$A$5:$A$104,0)),"открыть"),""))</f>
        <v/>
      </c>
    </row>
    <row r="116" ht="15.75" customHeight="1">
      <c r="A116" s="23" t="str">
        <f>IF('Процессы'!A116="","",'Процессы'!A116)</f>
        <v/>
      </c>
      <c r="B116" s="23" t="str">
        <f t="array" ref="B116">IF($A116="","",IFERROR(INDEX('Система'!$B$5:$B$14,MATCH('Процессы'!B116,'Система'!$A$5:$A$14,0)),"⚠ ID системы"))</f>
        <v/>
      </c>
      <c r="C116" s="23" t="str">
        <f>IF($A116="","",'Процессы'!C116)</f>
        <v/>
      </c>
      <c r="D116" s="23" t="str">
        <f>IF($A116="","",'Процессы'!E116)</f>
        <v/>
      </c>
      <c r="E116" s="23" t="str">
        <f>IF($A116="","",'Процессы'!F116)</f>
        <v/>
      </c>
      <c r="F116" s="23" t="str">
        <f>IF($A116="","",'Процессы'!H116)</f>
        <v/>
      </c>
      <c r="G116" s="23" t="str">
        <f>IF($A116="","",'Процессы'!I116)</f>
        <v/>
      </c>
      <c r="H116" s="23" t="str">
        <f>IF($A116="","",'Процессы'!J116)</f>
        <v/>
      </c>
      <c r="I116" s="23" t="str">
        <f t="array" ref="I116">IF($A116="","",IFERROR(INDEX('Позиции'!$C$5:$C$204,MATCH('Процессы'!M116,'Позиции'!$A$5:$A$204,0)),"⚠ ID позиции"))</f>
        <v/>
      </c>
      <c r="J116" s="23" t="str">
        <f>IF($A116="","",COUNTIF('Действия'!$B$5:$B$304,$A116))</f>
        <v/>
      </c>
      <c r="K116" s="23" t="str">
        <f>IF($A116="","",COUNTIF('Переходы'!$B$5:$B$304,$A116))</f>
        <v/>
      </c>
      <c r="L116" s="23" t="str">
        <f>IF($A116="","",'Процессы'!O116)</f>
        <v/>
      </c>
      <c r="M116" s="23" t="str">
        <f>IF($A116="","",'Процессы'!P116)</f>
        <v/>
      </c>
      <c r="N116" s="23" t="str">
        <f>IF($A116="","",'Процессы'!Q116)</f>
        <v/>
      </c>
      <c r="O116" s="23" t="str">
        <f>IF($A116="","",'Процессы'!R116)</f>
        <v/>
      </c>
      <c r="P116" s="23" t="str">
        <f>IF($A116="","",'Процессы'!S116)</f>
        <v/>
      </c>
      <c r="Q116" s="23" t="str">
        <f>IF($A116="","",IF(COUNTA('Процессы'!B116,'Процессы'!E116,'Процессы'!F116,'Процессы'!H116,'Процессы'!I116,'Процессы'!J116,'Процессы'!M116,'Процессы'!O116,'Процессы'!P116,'Процессы'!R116,'Процессы'!S116)=11,"Готово","Есть пробелы"))</f>
        <v/>
      </c>
      <c r="R116" s="23" t="str">
        <f t="array" ref="R116">IF($A116="","",IFERROR(INDEX('Диаграммы'!$A$5:$A$104,MATCH($A116,'Диаграммы'!$B$5:$B$104,0)),"не настроена"))</f>
        <v/>
      </c>
      <c r="S116" s="23" t="str">
        <f t="array" ref="S116">IF(OR($A116="",$R116="не настроена"),"",IFERROR(INDEX('Диаграммы'!$M$5:$M$104,MATCH($R116,'Диаграммы'!$A$5:$A$104,0)),""))</f>
        <v/>
      </c>
      <c r="T116" s="23" t="str">
        <f t="array" ref="T116">IF(OR($A116="",$R116="не настроена"),"",IFERROR(HYPERLINK(INDEX('Диаграммы'!$O$5:$O$104,MATCH($R116,'Диаграммы'!$A$5:$A$104,0)),"открыть"),""))</f>
        <v/>
      </c>
    </row>
    <row r="117" ht="15.75" customHeight="1">
      <c r="A117" s="23" t="str">
        <f>IF('Процессы'!A117="","",'Процессы'!A117)</f>
        <v/>
      </c>
      <c r="B117" s="23" t="str">
        <f t="array" ref="B117">IF($A117="","",IFERROR(INDEX('Система'!$B$5:$B$14,MATCH('Процессы'!B117,'Система'!$A$5:$A$14,0)),"⚠ ID системы"))</f>
        <v/>
      </c>
      <c r="C117" s="23" t="str">
        <f>IF($A117="","",'Процессы'!C117)</f>
        <v/>
      </c>
      <c r="D117" s="23" t="str">
        <f>IF($A117="","",'Процессы'!E117)</f>
        <v/>
      </c>
      <c r="E117" s="23" t="str">
        <f>IF($A117="","",'Процессы'!F117)</f>
        <v/>
      </c>
      <c r="F117" s="23" t="str">
        <f>IF($A117="","",'Процессы'!H117)</f>
        <v/>
      </c>
      <c r="G117" s="23" t="str">
        <f>IF($A117="","",'Процессы'!I117)</f>
        <v/>
      </c>
      <c r="H117" s="23" t="str">
        <f>IF($A117="","",'Процессы'!J117)</f>
        <v/>
      </c>
      <c r="I117" s="23" t="str">
        <f t="array" ref="I117">IF($A117="","",IFERROR(INDEX('Позиции'!$C$5:$C$204,MATCH('Процессы'!M117,'Позиции'!$A$5:$A$204,0)),"⚠ ID позиции"))</f>
        <v/>
      </c>
      <c r="J117" s="23" t="str">
        <f>IF($A117="","",COUNTIF('Действия'!$B$5:$B$304,$A117))</f>
        <v/>
      </c>
      <c r="K117" s="23" t="str">
        <f>IF($A117="","",COUNTIF('Переходы'!$B$5:$B$304,$A117))</f>
        <v/>
      </c>
      <c r="L117" s="23" t="str">
        <f>IF($A117="","",'Процессы'!O117)</f>
        <v/>
      </c>
      <c r="M117" s="23" t="str">
        <f>IF($A117="","",'Процессы'!P117)</f>
        <v/>
      </c>
      <c r="N117" s="23" t="str">
        <f>IF($A117="","",'Процессы'!Q117)</f>
        <v/>
      </c>
      <c r="O117" s="23" t="str">
        <f>IF($A117="","",'Процессы'!R117)</f>
        <v/>
      </c>
      <c r="P117" s="23" t="str">
        <f>IF($A117="","",'Процессы'!S117)</f>
        <v/>
      </c>
      <c r="Q117" s="23" t="str">
        <f>IF($A117="","",IF(COUNTA('Процессы'!B117,'Процессы'!E117,'Процессы'!F117,'Процессы'!H117,'Процессы'!I117,'Процессы'!J117,'Процессы'!M117,'Процессы'!O117,'Процессы'!P117,'Процессы'!R117,'Процессы'!S117)=11,"Готово","Есть пробелы"))</f>
        <v/>
      </c>
      <c r="R117" s="23" t="str">
        <f t="array" ref="R117">IF($A117="","",IFERROR(INDEX('Диаграммы'!$A$5:$A$104,MATCH($A117,'Диаграммы'!$B$5:$B$104,0)),"не настроена"))</f>
        <v/>
      </c>
      <c r="S117" s="23" t="str">
        <f t="array" ref="S117">IF(OR($A117="",$R117="не настроена"),"",IFERROR(INDEX('Диаграммы'!$M$5:$M$104,MATCH($R117,'Диаграммы'!$A$5:$A$104,0)),""))</f>
        <v/>
      </c>
      <c r="T117" s="23" t="str">
        <f t="array" ref="T117">IF(OR($A117="",$R117="не настроена"),"",IFERROR(HYPERLINK(INDEX('Диаграммы'!$O$5:$O$104,MATCH($R117,'Диаграммы'!$A$5:$A$104,0)),"открыть"),""))</f>
        <v/>
      </c>
    </row>
    <row r="118" ht="15.75" customHeight="1">
      <c r="A118" s="23" t="str">
        <f>IF('Процессы'!A118="","",'Процессы'!A118)</f>
        <v/>
      </c>
      <c r="B118" s="23" t="str">
        <f t="array" ref="B118">IF($A118="","",IFERROR(INDEX('Система'!$B$5:$B$14,MATCH('Процессы'!B118,'Система'!$A$5:$A$14,0)),"⚠ ID системы"))</f>
        <v/>
      </c>
      <c r="C118" s="23" t="str">
        <f>IF($A118="","",'Процессы'!C118)</f>
        <v/>
      </c>
      <c r="D118" s="23" t="str">
        <f>IF($A118="","",'Процессы'!E118)</f>
        <v/>
      </c>
      <c r="E118" s="23" t="str">
        <f>IF($A118="","",'Процессы'!F118)</f>
        <v/>
      </c>
      <c r="F118" s="23" t="str">
        <f>IF($A118="","",'Процессы'!H118)</f>
        <v/>
      </c>
      <c r="G118" s="23" t="str">
        <f>IF($A118="","",'Процессы'!I118)</f>
        <v/>
      </c>
      <c r="H118" s="23" t="str">
        <f>IF($A118="","",'Процессы'!J118)</f>
        <v/>
      </c>
      <c r="I118" s="23" t="str">
        <f t="array" ref="I118">IF($A118="","",IFERROR(INDEX('Позиции'!$C$5:$C$204,MATCH('Процессы'!M118,'Позиции'!$A$5:$A$204,0)),"⚠ ID позиции"))</f>
        <v/>
      </c>
      <c r="J118" s="23" t="str">
        <f>IF($A118="","",COUNTIF('Действия'!$B$5:$B$304,$A118))</f>
        <v/>
      </c>
      <c r="K118" s="23" t="str">
        <f>IF($A118="","",COUNTIF('Переходы'!$B$5:$B$304,$A118))</f>
        <v/>
      </c>
      <c r="L118" s="23" t="str">
        <f>IF($A118="","",'Процессы'!O118)</f>
        <v/>
      </c>
      <c r="M118" s="23" t="str">
        <f>IF($A118="","",'Процессы'!P118)</f>
        <v/>
      </c>
      <c r="N118" s="23" t="str">
        <f>IF($A118="","",'Процессы'!Q118)</f>
        <v/>
      </c>
      <c r="O118" s="23" t="str">
        <f>IF($A118="","",'Процессы'!R118)</f>
        <v/>
      </c>
      <c r="P118" s="23" t="str">
        <f>IF($A118="","",'Процессы'!S118)</f>
        <v/>
      </c>
      <c r="Q118" s="23" t="str">
        <f>IF($A118="","",IF(COUNTA('Процессы'!B118,'Процессы'!E118,'Процессы'!F118,'Процессы'!H118,'Процессы'!I118,'Процессы'!J118,'Процессы'!M118,'Процессы'!O118,'Процессы'!P118,'Процессы'!R118,'Процессы'!S118)=11,"Готово","Есть пробелы"))</f>
        <v/>
      </c>
      <c r="R118" s="23" t="str">
        <f t="array" ref="R118">IF($A118="","",IFERROR(INDEX('Диаграммы'!$A$5:$A$104,MATCH($A118,'Диаграммы'!$B$5:$B$104,0)),"не настроена"))</f>
        <v/>
      </c>
      <c r="S118" s="23" t="str">
        <f t="array" ref="S118">IF(OR($A118="",$R118="не настроена"),"",IFERROR(INDEX('Диаграммы'!$M$5:$M$104,MATCH($R118,'Диаграммы'!$A$5:$A$104,0)),""))</f>
        <v/>
      </c>
      <c r="T118" s="23" t="str">
        <f t="array" ref="T118">IF(OR($A118="",$R118="не настроена"),"",IFERROR(HYPERLINK(INDEX('Диаграммы'!$O$5:$O$104,MATCH($R118,'Диаграммы'!$A$5:$A$104,0)),"открыть"),""))</f>
        <v/>
      </c>
    </row>
    <row r="119" ht="15.75" customHeight="1">
      <c r="A119" s="23" t="str">
        <f>IF('Процессы'!A119="","",'Процессы'!A119)</f>
        <v/>
      </c>
      <c r="B119" s="23" t="str">
        <f t="array" ref="B119">IF($A119="","",IFERROR(INDEX('Система'!$B$5:$B$14,MATCH('Процессы'!B119,'Система'!$A$5:$A$14,0)),"⚠ ID системы"))</f>
        <v/>
      </c>
      <c r="C119" s="23" t="str">
        <f>IF($A119="","",'Процессы'!C119)</f>
        <v/>
      </c>
      <c r="D119" s="23" t="str">
        <f>IF($A119="","",'Процессы'!E119)</f>
        <v/>
      </c>
      <c r="E119" s="23" t="str">
        <f>IF($A119="","",'Процессы'!F119)</f>
        <v/>
      </c>
      <c r="F119" s="23" t="str">
        <f>IF($A119="","",'Процессы'!H119)</f>
        <v/>
      </c>
      <c r="G119" s="23" t="str">
        <f>IF($A119="","",'Процессы'!I119)</f>
        <v/>
      </c>
      <c r="H119" s="23" t="str">
        <f>IF($A119="","",'Процессы'!J119)</f>
        <v/>
      </c>
      <c r="I119" s="23" t="str">
        <f t="array" ref="I119">IF($A119="","",IFERROR(INDEX('Позиции'!$C$5:$C$204,MATCH('Процессы'!M119,'Позиции'!$A$5:$A$204,0)),"⚠ ID позиции"))</f>
        <v/>
      </c>
      <c r="J119" s="23" t="str">
        <f>IF($A119="","",COUNTIF('Действия'!$B$5:$B$304,$A119))</f>
        <v/>
      </c>
      <c r="K119" s="23" t="str">
        <f>IF($A119="","",COUNTIF('Переходы'!$B$5:$B$304,$A119))</f>
        <v/>
      </c>
      <c r="L119" s="23" t="str">
        <f>IF($A119="","",'Процессы'!O119)</f>
        <v/>
      </c>
      <c r="M119" s="23" t="str">
        <f>IF($A119="","",'Процессы'!P119)</f>
        <v/>
      </c>
      <c r="N119" s="23" t="str">
        <f>IF($A119="","",'Процессы'!Q119)</f>
        <v/>
      </c>
      <c r="O119" s="23" t="str">
        <f>IF($A119="","",'Процессы'!R119)</f>
        <v/>
      </c>
      <c r="P119" s="23" t="str">
        <f>IF($A119="","",'Процессы'!S119)</f>
        <v/>
      </c>
      <c r="Q119" s="23" t="str">
        <f>IF($A119="","",IF(COUNTA('Процессы'!B119,'Процессы'!E119,'Процессы'!F119,'Процессы'!H119,'Процессы'!I119,'Процессы'!J119,'Процессы'!M119,'Процессы'!O119,'Процессы'!P119,'Процессы'!R119,'Процессы'!S119)=11,"Готово","Есть пробелы"))</f>
        <v/>
      </c>
      <c r="R119" s="23" t="str">
        <f t="array" ref="R119">IF($A119="","",IFERROR(INDEX('Диаграммы'!$A$5:$A$104,MATCH($A119,'Диаграммы'!$B$5:$B$104,0)),"не настроена"))</f>
        <v/>
      </c>
      <c r="S119" s="23" t="str">
        <f t="array" ref="S119">IF(OR($A119="",$R119="не настроена"),"",IFERROR(INDEX('Диаграммы'!$M$5:$M$104,MATCH($R119,'Диаграммы'!$A$5:$A$104,0)),""))</f>
        <v/>
      </c>
      <c r="T119" s="23" t="str">
        <f t="array" ref="T119">IF(OR($A119="",$R119="не настроена"),"",IFERROR(HYPERLINK(INDEX('Диаграммы'!$O$5:$O$104,MATCH($R119,'Диаграммы'!$A$5:$A$104,0)),"открыть"),""))</f>
        <v/>
      </c>
    </row>
    <row r="120" ht="15.75" customHeight="1">
      <c r="A120" s="23" t="str">
        <f>IF('Процессы'!A120="","",'Процессы'!A120)</f>
        <v/>
      </c>
      <c r="B120" s="23" t="str">
        <f t="array" ref="B120">IF($A120="","",IFERROR(INDEX('Система'!$B$5:$B$14,MATCH('Процессы'!B120,'Система'!$A$5:$A$14,0)),"⚠ ID системы"))</f>
        <v/>
      </c>
      <c r="C120" s="23" t="str">
        <f>IF($A120="","",'Процессы'!C120)</f>
        <v/>
      </c>
      <c r="D120" s="23" t="str">
        <f>IF($A120="","",'Процессы'!E120)</f>
        <v/>
      </c>
      <c r="E120" s="23" t="str">
        <f>IF($A120="","",'Процессы'!F120)</f>
        <v/>
      </c>
      <c r="F120" s="23" t="str">
        <f>IF($A120="","",'Процессы'!H120)</f>
        <v/>
      </c>
      <c r="G120" s="23" t="str">
        <f>IF($A120="","",'Процессы'!I120)</f>
        <v/>
      </c>
      <c r="H120" s="23" t="str">
        <f>IF($A120="","",'Процессы'!J120)</f>
        <v/>
      </c>
      <c r="I120" s="23" t="str">
        <f t="array" ref="I120">IF($A120="","",IFERROR(INDEX('Позиции'!$C$5:$C$204,MATCH('Процессы'!M120,'Позиции'!$A$5:$A$204,0)),"⚠ ID позиции"))</f>
        <v/>
      </c>
      <c r="J120" s="23" t="str">
        <f>IF($A120="","",COUNTIF('Действия'!$B$5:$B$304,$A120))</f>
        <v/>
      </c>
      <c r="K120" s="23" t="str">
        <f>IF($A120="","",COUNTIF('Переходы'!$B$5:$B$304,$A120))</f>
        <v/>
      </c>
      <c r="L120" s="23" t="str">
        <f>IF($A120="","",'Процессы'!O120)</f>
        <v/>
      </c>
      <c r="M120" s="23" t="str">
        <f>IF($A120="","",'Процессы'!P120)</f>
        <v/>
      </c>
      <c r="N120" s="23" t="str">
        <f>IF($A120="","",'Процессы'!Q120)</f>
        <v/>
      </c>
      <c r="O120" s="23" t="str">
        <f>IF($A120="","",'Процессы'!R120)</f>
        <v/>
      </c>
      <c r="P120" s="23" t="str">
        <f>IF($A120="","",'Процессы'!S120)</f>
        <v/>
      </c>
      <c r="Q120" s="23" t="str">
        <f>IF($A120="","",IF(COUNTA('Процессы'!B120,'Процессы'!E120,'Процессы'!F120,'Процессы'!H120,'Процессы'!I120,'Процессы'!J120,'Процессы'!M120,'Процессы'!O120,'Процессы'!P120,'Процессы'!R120,'Процессы'!S120)=11,"Готово","Есть пробелы"))</f>
        <v/>
      </c>
      <c r="R120" s="23" t="str">
        <f t="array" ref="R120">IF($A120="","",IFERROR(INDEX('Диаграммы'!$A$5:$A$104,MATCH($A120,'Диаграммы'!$B$5:$B$104,0)),"не настроена"))</f>
        <v/>
      </c>
      <c r="S120" s="23" t="str">
        <f t="array" ref="S120">IF(OR($A120="",$R120="не настроена"),"",IFERROR(INDEX('Диаграммы'!$M$5:$M$104,MATCH($R120,'Диаграммы'!$A$5:$A$104,0)),""))</f>
        <v/>
      </c>
      <c r="T120" s="23" t="str">
        <f t="array" ref="T120">IF(OR($A120="",$R120="не настроена"),"",IFERROR(HYPERLINK(INDEX('Диаграммы'!$O$5:$O$104,MATCH($R120,'Диаграммы'!$A$5:$A$104,0)),"открыть"),""))</f>
        <v/>
      </c>
    </row>
    <row r="121" ht="15.75" customHeight="1">
      <c r="A121" s="23" t="str">
        <f>IF('Процессы'!A121="","",'Процессы'!A121)</f>
        <v/>
      </c>
      <c r="B121" s="23" t="str">
        <f t="array" ref="B121">IF($A121="","",IFERROR(INDEX('Система'!$B$5:$B$14,MATCH('Процессы'!B121,'Система'!$A$5:$A$14,0)),"⚠ ID системы"))</f>
        <v/>
      </c>
      <c r="C121" s="23" t="str">
        <f>IF($A121="","",'Процессы'!C121)</f>
        <v/>
      </c>
      <c r="D121" s="23" t="str">
        <f>IF($A121="","",'Процессы'!E121)</f>
        <v/>
      </c>
      <c r="E121" s="23" t="str">
        <f>IF($A121="","",'Процессы'!F121)</f>
        <v/>
      </c>
      <c r="F121" s="23" t="str">
        <f>IF($A121="","",'Процессы'!H121)</f>
        <v/>
      </c>
      <c r="G121" s="23" t="str">
        <f>IF($A121="","",'Процессы'!I121)</f>
        <v/>
      </c>
      <c r="H121" s="23" t="str">
        <f>IF($A121="","",'Процессы'!J121)</f>
        <v/>
      </c>
      <c r="I121" s="23" t="str">
        <f t="array" ref="I121">IF($A121="","",IFERROR(INDEX('Позиции'!$C$5:$C$204,MATCH('Процессы'!M121,'Позиции'!$A$5:$A$204,0)),"⚠ ID позиции"))</f>
        <v/>
      </c>
      <c r="J121" s="23" t="str">
        <f>IF($A121="","",COUNTIF('Действия'!$B$5:$B$304,$A121))</f>
        <v/>
      </c>
      <c r="K121" s="23" t="str">
        <f>IF($A121="","",COUNTIF('Переходы'!$B$5:$B$304,$A121))</f>
        <v/>
      </c>
      <c r="L121" s="23" t="str">
        <f>IF($A121="","",'Процессы'!O121)</f>
        <v/>
      </c>
      <c r="M121" s="23" t="str">
        <f>IF($A121="","",'Процессы'!P121)</f>
        <v/>
      </c>
      <c r="N121" s="23" t="str">
        <f>IF($A121="","",'Процессы'!Q121)</f>
        <v/>
      </c>
      <c r="O121" s="23" t="str">
        <f>IF($A121="","",'Процессы'!R121)</f>
        <v/>
      </c>
      <c r="P121" s="23" t="str">
        <f>IF($A121="","",'Процессы'!S121)</f>
        <v/>
      </c>
      <c r="Q121" s="23" t="str">
        <f>IF($A121="","",IF(COUNTA('Процессы'!B121,'Процессы'!E121,'Процессы'!F121,'Процессы'!H121,'Процессы'!I121,'Процессы'!J121,'Процессы'!M121,'Процессы'!O121,'Процессы'!P121,'Процессы'!R121,'Процессы'!S121)=11,"Готово","Есть пробелы"))</f>
        <v/>
      </c>
      <c r="R121" s="23" t="str">
        <f t="array" ref="R121">IF($A121="","",IFERROR(INDEX('Диаграммы'!$A$5:$A$104,MATCH($A121,'Диаграммы'!$B$5:$B$104,0)),"не настроена"))</f>
        <v/>
      </c>
      <c r="S121" s="23" t="str">
        <f t="array" ref="S121">IF(OR($A121="",$R121="не настроена"),"",IFERROR(INDEX('Диаграммы'!$M$5:$M$104,MATCH($R121,'Диаграммы'!$A$5:$A$104,0)),""))</f>
        <v/>
      </c>
      <c r="T121" s="23" t="str">
        <f t="array" ref="T121">IF(OR($A121="",$R121="не настроена"),"",IFERROR(HYPERLINK(INDEX('Диаграммы'!$O$5:$O$104,MATCH($R121,'Диаграммы'!$A$5:$A$104,0)),"открыть"),""))</f>
        <v/>
      </c>
    </row>
    <row r="122" ht="15.75" customHeight="1">
      <c r="A122" s="23" t="str">
        <f>IF('Процессы'!A122="","",'Процессы'!A122)</f>
        <v/>
      </c>
      <c r="B122" s="23" t="str">
        <f t="array" ref="B122">IF($A122="","",IFERROR(INDEX('Система'!$B$5:$B$14,MATCH('Процессы'!B122,'Система'!$A$5:$A$14,0)),"⚠ ID системы"))</f>
        <v/>
      </c>
      <c r="C122" s="23" t="str">
        <f>IF($A122="","",'Процессы'!C122)</f>
        <v/>
      </c>
      <c r="D122" s="23" t="str">
        <f>IF($A122="","",'Процессы'!E122)</f>
        <v/>
      </c>
      <c r="E122" s="23" t="str">
        <f>IF($A122="","",'Процессы'!F122)</f>
        <v/>
      </c>
      <c r="F122" s="23" t="str">
        <f>IF($A122="","",'Процессы'!H122)</f>
        <v/>
      </c>
      <c r="G122" s="23" t="str">
        <f>IF($A122="","",'Процессы'!I122)</f>
        <v/>
      </c>
      <c r="H122" s="23" t="str">
        <f>IF($A122="","",'Процессы'!J122)</f>
        <v/>
      </c>
      <c r="I122" s="23" t="str">
        <f t="array" ref="I122">IF($A122="","",IFERROR(INDEX('Позиции'!$C$5:$C$204,MATCH('Процессы'!M122,'Позиции'!$A$5:$A$204,0)),"⚠ ID позиции"))</f>
        <v/>
      </c>
      <c r="J122" s="23" t="str">
        <f>IF($A122="","",COUNTIF('Действия'!$B$5:$B$304,$A122))</f>
        <v/>
      </c>
      <c r="K122" s="23" t="str">
        <f>IF($A122="","",COUNTIF('Переходы'!$B$5:$B$304,$A122))</f>
        <v/>
      </c>
      <c r="L122" s="23" t="str">
        <f>IF($A122="","",'Процессы'!O122)</f>
        <v/>
      </c>
      <c r="M122" s="23" t="str">
        <f>IF($A122="","",'Процессы'!P122)</f>
        <v/>
      </c>
      <c r="N122" s="23" t="str">
        <f>IF($A122="","",'Процессы'!Q122)</f>
        <v/>
      </c>
      <c r="O122" s="23" t="str">
        <f>IF($A122="","",'Процессы'!R122)</f>
        <v/>
      </c>
      <c r="P122" s="23" t="str">
        <f>IF($A122="","",'Процессы'!S122)</f>
        <v/>
      </c>
      <c r="Q122" s="23" t="str">
        <f>IF($A122="","",IF(COUNTA('Процессы'!B122,'Процессы'!E122,'Процессы'!F122,'Процессы'!H122,'Процессы'!I122,'Процессы'!J122,'Процессы'!M122,'Процессы'!O122,'Процессы'!P122,'Процессы'!R122,'Процессы'!S122)=11,"Готово","Есть пробелы"))</f>
        <v/>
      </c>
      <c r="R122" s="23" t="str">
        <f t="array" ref="R122">IF($A122="","",IFERROR(INDEX('Диаграммы'!$A$5:$A$104,MATCH($A122,'Диаграммы'!$B$5:$B$104,0)),"не настроена"))</f>
        <v/>
      </c>
      <c r="S122" s="23" t="str">
        <f t="array" ref="S122">IF(OR($A122="",$R122="не настроена"),"",IFERROR(INDEX('Диаграммы'!$M$5:$M$104,MATCH($R122,'Диаграммы'!$A$5:$A$104,0)),""))</f>
        <v/>
      </c>
      <c r="T122" s="23" t="str">
        <f t="array" ref="T122">IF(OR($A122="",$R122="не настроена"),"",IFERROR(HYPERLINK(INDEX('Диаграммы'!$O$5:$O$104,MATCH($R122,'Диаграммы'!$A$5:$A$104,0)),"открыть"),""))</f>
        <v/>
      </c>
    </row>
    <row r="123" ht="15.75" customHeight="1">
      <c r="A123" s="23" t="str">
        <f>IF('Процессы'!A123="","",'Процессы'!A123)</f>
        <v/>
      </c>
      <c r="B123" s="23" t="str">
        <f t="array" ref="B123">IF($A123="","",IFERROR(INDEX('Система'!$B$5:$B$14,MATCH('Процессы'!B123,'Система'!$A$5:$A$14,0)),"⚠ ID системы"))</f>
        <v/>
      </c>
      <c r="C123" s="23" t="str">
        <f>IF($A123="","",'Процессы'!C123)</f>
        <v/>
      </c>
      <c r="D123" s="23" t="str">
        <f>IF($A123="","",'Процессы'!E123)</f>
        <v/>
      </c>
      <c r="E123" s="23" t="str">
        <f>IF($A123="","",'Процессы'!F123)</f>
        <v/>
      </c>
      <c r="F123" s="23" t="str">
        <f>IF($A123="","",'Процессы'!H123)</f>
        <v/>
      </c>
      <c r="G123" s="23" t="str">
        <f>IF($A123="","",'Процессы'!I123)</f>
        <v/>
      </c>
      <c r="H123" s="23" t="str">
        <f>IF($A123="","",'Процессы'!J123)</f>
        <v/>
      </c>
      <c r="I123" s="23" t="str">
        <f t="array" ref="I123">IF($A123="","",IFERROR(INDEX('Позиции'!$C$5:$C$204,MATCH('Процессы'!M123,'Позиции'!$A$5:$A$204,0)),"⚠ ID позиции"))</f>
        <v/>
      </c>
      <c r="J123" s="23" t="str">
        <f>IF($A123="","",COUNTIF('Действия'!$B$5:$B$304,$A123))</f>
        <v/>
      </c>
      <c r="K123" s="23" t="str">
        <f>IF($A123="","",COUNTIF('Переходы'!$B$5:$B$304,$A123))</f>
        <v/>
      </c>
      <c r="L123" s="23" t="str">
        <f>IF($A123="","",'Процессы'!O123)</f>
        <v/>
      </c>
      <c r="M123" s="23" t="str">
        <f>IF($A123="","",'Процессы'!P123)</f>
        <v/>
      </c>
      <c r="N123" s="23" t="str">
        <f>IF($A123="","",'Процессы'!Q123)</f>
        <v/>
      </c>
      <c r="O123" s="23" t="str">
        <f>IF($A123="","",'Процессы'!R123)</f>
        <v/>
      </c>
      <c r="P123" s="23" t="str">
        <f>IF($A123="","",'Процессы'!S123)</f>
        <v/>
      </c>
      <c r="Q123" s="23" t="str">
        <f>IF($A123="","",IF(COUNTA('Процессы'!B123,'Процессы'!E123,'Процессы'!F123,'Процессы'!H123,'Процессы'!I123,'Процессы'!J123,'Процессы'!M123,'Процессы'!O123,'Процессы'!P123,'Процессы'!R123,'Процессы'!S123)=11,"Готово","Есть пробелы"))</f>
        <v/>
      </c>
      <c r="R123" s="23" t="str">
        <f t="array" ref="R123">IF($A123="","",IFERROR(INDEX('Диаграммы'!$A$5:$A$104,MATCH($A123,'Диаграммы'!$B$5:$B$104,0)),"не настроена"))</f>
        <v/>
      </c>
      <c r="S123" s="23" t="str">
        <f t="array" ref="S123">IF(OR($A123="",$R123="не настроена"),"",IFERROR(INDEX('Диаграммы'!$M$5:$M$104,MATCH($R123,'Диаграммы'!$A$5:$A$104,0)),""))</f>
        <v/>
      </c>
      <c r="T123" s="23" t="str">
        <f t="array" ref="T123">IF(OR($A123="",$R123="не настроена"),"",IFERROR(HYPERLINK(INDEX('Диаграммы'!$O$5:$O$104,MATCH($R123,'Диаграммы'!$A$5:$A$104,0)),"открыть"),""))</f>
        <v/>
      </c>
    </row>
    <row r="124" ht="15.75" customHeight="1">
      <c r="A124" s="23" t="str">
        <f>IF('Процессы'!A124="","",'Процессы'!A124)</f>
        <v/>
      </c>
      <c r="B124" s="23" t="str">
        <f t="array" ref="B124">IF($A124="","",IFERROR(INDEX('Система'!$B$5:$B$14,MATCH('Процессы'!B124,'Система'!$A$5:$A$14,0)),"⚠ ID системы"))</f>
        <v/>
      </c>
      <c r="C124" s="23" t="str">
        <f>IF($A124="","",'Процессы'!C124)</f>
        <v/>
      </c>
      <c r="D124" s="23" t="str">
        <f>IF($A124="","",'Процессы'!E124)</f>
        <v/>
      </c>
      <c r="E124" s="23" t="str">
        <f>IF($A124="","",'Процессы'!F124)</f>
        <v/>
      </c>
      <c r="F124" s="23" t="str">
        <f>IF($A124="","",'Процессы'!H124)</f>
        <v/>
      </c>
      <c r="G124" s="23" t="str">
        <f>IF($A124="","",'Процессы'!I124)</f>
        <v/>
      </c>
      <c r="H124" s="23" t="str">
        <f>IF($A124="","",'Процессы'!J124)</f>
        <v/>
      </c>
      <c r="I124" s="23" t="str">
        <f t="array" ref="I124">IF($A124="","",IFERROR(INDEX('Позиции'!$C$5:$C$204,MATCH('Процессы'!M124,'Позиции'!$A$5:$A$204,0)),"⚠ ID позиции"))</f>
        <v/>
      </c>
      <c r="J124" s="23" t="str">
        <f>IF($A124="","",COUNTIF('Действия'!$B$5:$B$304,$A124))</f>
        <v/>
      </c>
      <c r="K124" s="23" t="str">
        <f>IF($A124="","",COUNTIF('Переходы'!$B$5:$B$304,$A124))</f>
        <v/>
      </c>
      <c r="L124" s="23" t="str">
        <f>IF($A124="","",'Процессы'!O124)</f>
        <v/>
      </c>
      <c r="M124" s="23" t="str">
        <f>IF($A124="","",'Процессы'!P124)</f>
        <v/>
      </c>
      <c r="N124" s="23" t="str">
        <f>IF($A124="","",'Процессы'!Q124)</f>
        <v/>
      </c>
      <c r="O124" s="23" t="str">
        <f>IF($A124="","",'Процессы'!R124)</f>
        <v/>
      </c>
      <c r="P124" s="23" t="str">
        <f>IF($A124="","",'Процессы'!S124)</f>
        <v/>
      </c>
      <c r="Q124" s="23" t="str">
        <f>IF($A124="","",IF(COUNTA('Процессы'!B124,'Процессы'!E124,'Процессы'!F124,'Процессы'!H124,'Процессы'!I124,'Процессы'!J124,'Процессы'!M124,'Процессы'!O124,'Процессы'!P124,'Процессы'!R124,'Процессы'!S124)=11,"Готово","Есть пробелы"))</f>
        <v/>
      </c>
      <c r="R124" s="23" t="str">
        <f t="array" ref="R124">IF($A124="","",IFERROR(INDEX('Диаграммы'!$A$5:$A$104,MATCH($A124,'Диаграммы'!$B$5:$B$104,0)),"не настроена"))</f>
        <v/>
      </c>
      <c r="S124" s="23" t="str">
        <f t="array" ref="S124">IF(OR($A124="",$R124="не настроена"),"",IFERROR(INDEX('Диаграммы'!$M$5:$M$104,MATCH($R124,'Диаграммы'!$A$5:$A$104,0)),""))</f>
        <v/>
      </c>
      <c r="T124" s="23" t="str">
        <f t="array" ref="T124">IF(OR($A124="",$R124="не настроена"),"",IFERROR(HYPERLINK(INDEX('Диаграммы'!$O$5:$O$104,MATCH($R124,'Диаграммы'!$A$5:$A$104,0)),"открыть"),""))</f>
        <v/>
      </c>
    </row>
    <row r="125" ht="15.75" customHeight="1">
      <c r="A125" s="23" t="str">
        <f>IF('Процессы'!A125="","",'Процессы'!A125)</f>
        <v/>
      </c>
      <c r="B125" s="23" t="str">
        <f t="array" ref="B125">IF($A125="","",IFERROR(INDEX('Система'!$B$5:$B$14,MATCH('Процессы'!B125,'Система'!$A$5:$A$14,0)),"⚠ ID системы"))</f>
        <v/>
      </c>
      <c r="C125" s="23" t="str">
        <f>IF($A125="","",'Процессы'!C125)</f>
        <v/>
      </c>
      <c r="D125" s="23" t="str">
        <f>IF($A125="","",'Процессы'!E125)</f>
        <v/>
      </c>
      <c r="E125" s="23" t="str">
        <f>IF($A125="","",'Процессы'!F125)</f>
        <v/>
      </c>
      <c r="F125" s="23" t="str">
        <f>IF($A125="","",'Процессы'!H125)</f>
        <v/>
      </c>
      <c r="G125" s="23" t="str">
        <f>IF($A125="","",'Процессы'!I125)</f>
        <v/>
      </c>
      <c r="H125" s="23" t="str">
        <f>IF($A125="","",'Процессы'!J125)</f>
        <v/>
      </c>
      <c r="I125" s="23" t="str">
        <f t="array" ref="I125">IF($A125="","",IFERROR(INDEX('Позиции'!$C$5:$C$204,MATCH('Процессы'!M125,'Позиции'!$A$5:$A$204,0)),"⚠ ID позиции"))</f>
        <v/>
      </c>
      <c r="J125" s="23" t="str">
        <f>IF($A125="","",COUNTIF('Действия'!$B$5:$B$304,$A125))</f>
        <v/>
      </c>
      <c r="K125" s="23" t="str">
        <f>IF($A125="","",COUNTIF('Переходы'!$B$5:$B$304,$A125))</f>
        <v/>
      </c>
      <c r="L125" s="23" t="str">
        <f>IF($A125="","",'Процессы'!O125)</f>
        <v/>
      </c>
      <c r="M125" s="23" t="str">
        <f>IF($A125="","",'Процессы'!P125)</f>
        <v/>
      </c>
      <c r="N125" s="23" t="str">
        <f>IF($A125="","",'Процессы'!Q125)</f>
        <v/>
      </c>
      <c r="O125" s="23" t="str">
        <f>IF($A125="","",'Процессы'!R125)</f>
        <v/>
      </c>
      <c r="P125" s="23" t="str">
        <f>IF($A125="","",'Процессы'!S125)</f>
        <v/>
      </c>
      <c r="Q125" s="23" t="str">
        <f>IF($A125="","",IF(COUNTA('Процессы'!B125,'Процессы'!E125,'Процессы'!F125,'Процессы'!H125,'Процессы'!I125,'Процессы'!J125,'Процессы'!M125,'Процессы'!O125,'Процессы'!P125,'Процессы'!R125,'Процессы'!S125)=11,"Готово","Есть пробелы"))</f>
        <v/>
      </c>
      <c r="R125" s="23" t="str">
        <f t="array" ref="R125">IF($A125="","",IFERROR(INDEX('Диаграммы'!$A$5:$A$104,MATCH($A125,'Диаграммы'!$B$5:$B$104,0)),"не настроена"))</f>
        <v/>
      </c>
      <c r="S125" s="23" t="str">
        <f t="array" ref="S125">IF(OR($A125="",$R125="не настроена"),"",IFERROR(INDEX('Диаграммы'!$M$5:$M$104,MATCH($R125,'Диаграммы'!$A$5:$A$104,0)),""))</f>
        <v/>
      </c>
      <c r="T125" s="23" t="str">
        <f t="array" ref="T125">IF(OR($A125="",$R125="не настроена"),"",IFERROR(HYPERLINK(INDEX('Диаграммы'!$O$5:$O$104,MATCH($R125,'Диаграммы'!$A$5:$A$104,0)),"открыть"),""))</f>
        <v/>
      </c>
    </row>
    <row r="126" ht="15.75" customHeight="1">
      <c r="A126" s="23" t="str">
        <f>IF('Процессы'!A126="","",'Процессы'!A126)</f>
        <v/>
      </c>
      <c r="B126" s="23" t="str">
        <f t="array" ref="B126">IF($A126="","",IFERROR(INDEX('Система'!$B$5:$B$14,MATCH('Процессы'!B126,'Система'!$A$5:$A$14,0)),"⚠ ID системы"))</f>
        <v/>
      </c>
      <c r="C126" s="23" t="str">
        <f>IF($A126="","",'Процессы'!C126)</f>
        <v/>
      </c>
      <c r="D126" s="23" t="str">
        <f>IF($A126="","",'Процессы'!E126)</f>
        <v/>
      </c>
      <c r="E126" s="23" t="str">
        <f>IF($A126="","",'Процессы'!F126)</f>
        <v/>
      </c>
      <c r="F126" s="23" t="str">
        <f>IF($A126="","",'Процессы'!H126)</f>
        <v/>
      </c>
      <c r="G126" s="23" t="str">
        <f>IF($A126="","",'Процессы'!I126)</f>
        <v/>
      </c>
      <c r="H126" s="23" t="str">
        <f>IF($A126="","",'Процессы'!J126)</f>
        <v/>
      </c>
      <c r="I126" s="23" t="str">
        <f t="array" ref="I126">IF($A126="","",IFERROR(INDEX('Позиции'!$C$5:$C$204,MATCH('Процессы'!M126,'Позиции'!$A$5:$A$204,0)),"⚠ ID позиции"))</f>
        <v/>
      </c>
      <c r="J126" s="23" t="str">
        <f>IF($A126="","",COUNTIF('Действия'!$B$5:$B$304,$A126))</f>
        <v/>
      </c>
      <c r="K126" s="23" t="str">
        <f>IF($A126="","",COUNTIF('Переходы'!$B$5:$B$304,$A126))</f>
        <v/>
      </c>
      <c r="L126" s="23" t="str">
        <f>IF($A126="","",'Процессы'!O126)</f>
        <v/>
      </c>
      <c r="M126" s="23" t="str">
        <f>IF($A126="","",'Процессы'!P126)</f>
        <v/>
      </c>
      <c r="N126" s="23" t="str">
        <f>IF($A126="","",'Процессы'!Q126)</f>
        <v/>
      </c>
      <c r="O126" s="23" t="str">
        <f>IF($A126="","",'Процессы'!R126)</f>
        <v/>
      </c>
      <c r="P126" s="23" t="str">
        <f>IF($A126="","",'Процессы'!S126)</f>
        <v/>
      </c>
      <c r="Q126" s="23" t="str">
        <f>IF($A126="","",IF(COUNTA('Процессы'!B126,'Процессы'!E126,'Процессы'!F126,'Процессы'!H126,'Процессы'!I126,'Процессы'!J126,'Процессы'!M126,'Процессы'!O126,'Процессы'!P126,'Процессы'!R126,'Процессы'!S126)=11,"Готово","Есть пробелы"))</f>
        <v/>
      </c>
      <c r="R126" s="23" t="str">
        <f t="array" ref="R126">IF($A126="","",IFERROR(INDEX('Диаграммы'!$A$5:$A$104,MATCH($A126,'Диаграммы'!$B$5:$B$104,0)),"не настроена"))</f>
        <v/>
      </c>
      <c r="S126" s="23" t="str">
        <f t="array" ref="S126">IF(OR($A126="",$R126="не настроена"),"",IFERROR(INDEX('Диаграммы'!$M$5:$M$104,MATCH($R126,'Диаграммы'!$A$5:$A$104,0)),""))</f>
        <v/>
      </c>
      <c r="T126" s="23" t="str">
        <f t="array" ref="T126">IF(OR($A126="",$R126="не настроена"),"",IFERROR(HYPERLINK(INDEX('Диаграммы'!$O$5:$O$104,MATCH($R126,'Диаграммы'!$A$5:$A$104,0)),"открыть"),""))</f>
        <v/>
      </c>
    </row>
    <row r="127" ht="15.75" customHeight="1">
      <c r="A127" s="23" t="str">
        <f>IF('Процессы'!A127="","",'Процессы'!A127)</f>
        <v/>
      </c>
      <c r="B127" s="23" t="str">
        <f t="array" ref="B127">IF($A127="","",IFERROR(INDEX('Система'!$B$5:$B$14,MATCH('Процессы'!B127,'Система'!$A$5:$A$14,0)),"⚠ ID системы"))</f>
        <v/>
      </c>
      <c r="C127" s="23" t="str">
        <f>IF($A127="","",'Процессы'!C127)</f>
        <v/>
      </c>
      <c r="D127" s="23" t="str">
        <f>IF($A127="","",'Процессы'!E127)</f>
        <v/>
      </c>
      <c r="E127" s="23" t="str">
        <f>IF($A127="","",'Процессы'!F127)</f>
        <v/>
      </c>
      <c r="F127" s="23" t="str">
        <f>IF($A127="","",'Процессы'!H127)</f>
        <v/>
      </c>
      <c r="G127" s="23" t="str">
        <f>IF($A127="","",'Процессы'!I127)</f>
        <v/>
      </c>
      <c r="H127" s="23" t="str">
        <f>IF($A127="","",'Процессы'!J127)</f>
        <v/>
      </c>
      <c r="I127" s="23" t="str">
        <f t="array" ref="I127">IF($A127="","",IFERROR(INDEX('Позиции'!$C$5:$C$204,MATCH('Процессы'!M127,'Позиции'!$A$5:$A$204,0)),"⚠ ID позиции"))</f>
        <v/>
      </c>
      <c r="J127" s="23" t="str">
        <f>IF($A127="","",COUNTIF('Действия'!$B$5:$B$304,$A127))</f>
        <v/>
      </c>
      <c r="K127" s="23" t="str">
        <f>IF($A127="","",COUNTIF('Переходы'!$B$5:$B$304,$A127))</f>
        <v/>
      </c>
      <c r="L127" s="23" t="str">
        <f>IF($A127="","",'Процессы'!O127)</f>
        <v/>
      </c>
      <c r="M127" s="23" t="str">
        <f>IF($A127="","",'Процессы'!P127)</f>
        <v/>
      </c>
      <c r="N127" s="23" t="str">
        <f>IF($A127="","",'Процессы'!Q127)</f>
        <v/>
      </c>
      <c r="O127" s="23" t="str">
        <f>IF($A127="","",'Процессы'!R127)</f>
        <v/>
      </c>
      <c r="P127" s="23" t="str">
        <f>IF($A127="","",'Процессы'!S127)</f>
        <v/>
      </c>
      <c r="Q127" s="23" t="str">
        <f>IF($A127="","",IF(COUNTA('Процессы'!B127,'Процессы'!E127,'Процессы'!F127,'Процессы'!H127,'Процессы'!I127,'Процессы'!J127,'Процессы'!M127,'Процессы'!O127,'Процессы'!P127,'Процессы'!R127,'Процессы'!S127)=11,"Готово","Есть пробелы"))</f>
        <v/>
      </c>
      <c r="R127" s="23" t="str">
        <f t="array" ref="R127">IF($A127="","",IFERROR(INDEX('Диаграммы'!$A$5:$A$104,MATCH($A127,'Диаграммы'!$B$5:$B$104,0)),"не настроена"))</f>
        <v/>
      </c>
      <c r="S127" s="23" t="str">
        <f t="array" ref="S127">IF(OR($A127="",$R127="не настроена"),"",IFERROR(INDEX('Диаграммы'!$M$5:$M$104,MATCH($R127,'Диаграммы'!$A$5:$A$104,0)),""))</f>
        <v/>
      </c>
      <c r="T127" s="23" t="str">
        <f t="array" ref="T127">IF(OR($A127="",$R127="не настроена"),"",IFERROR(HYPERLINK(INDEX('Диаграммы'!$O$5:$O$104,MATCH($R127,'Диаграммы'!$A$5:$A$104,0)),"открыть"),""))</f>
        <v/>
      </c>
    </row>
    <row r="128" ht="15.75" customHeight="1">
      <c r="A128" s="23" t="str">
        <f>IF('Процессы'!A128="","",'Процессы'!A128)</f>
        <v/>
      </c>
      <c r="B128" s="23" t="str">
        <f t="array" ref="B128">IF($A128="","",IFERROR(INDEX('Система'!$B$5:$B$14,MATCH('Процессы'!B128,'Система'!$A$5:$A$14,0)),"⚠ ID системы"))</f>
        <v/>
      </c>
      <c r="C128" s="23" t="str">
        <f>IF($A128="","",'Процессы'!C128)</f>
        <v/>
      </c>
      <c r="D128" s="23" t="str">
        <f>IF($A128="","",'Процессы'!E128)</f>
        <v/>
      </c>
      <c r="E128" s="23" t="str">
        <f>IF($A128="","",'Процессы'!F128)</f>
        <v/>
      </c>
      <c r="F128" s="23" t="str">
        <f>IF($A128="","",'Процессы'!H128)</f>
        <v/>
      </c>
      <c r="G128" s="23" t="str">
        <f>IF($A128="","",'Процессы'!I128)</f>
        <v/>
      </c>
      <c r="H128" s="23" t="str">
        <f>IF($A128="","",'Процессы'!J128)</f>
        <v/>
      </c>
      <c r="I128" s="23" t="str">
        <f t="array" ref="I128">IF($A128="","",IFERROR(INDEX('Позиции'!$C$5:$C$204,MATCH('Процессы'!M128,'Позиции'!$A$5:$A$204,0)),"⚠ ID позиции"))</f>
        <v/>
      </c>
      <c r="J128" s="23" t="str">
        <f>IF($A128="","",COUNTIF('Действия'!$B$5:$B$304,$A128))</f>
        <v/>
      </c>
      <c r="K128" s="23" t="str">
        <f>IF($A128="","",COUNTIF('Переходы'!$B$5:$B$304,$A128))</f>
        <v/>
      </c>
      <c r="L128" s="23" t="str">
        <f>IF($A128="","",'Процессы'!O128)</f>
        <v/>
      </c>
      <c r="M128" s="23" t="str">
        <f>IF($A128="","",'Процессы'!P128)</f>
        <v/>
      </c>
      <c r="N128" s="23" t="str">
        <f>IF($A128="","",'Процессы'!Q128)</f>
        <v/>
      </c>
      <c r="O128" s="23" t="str">
        <f>IF($A128="","",'Процессы'!R128)</f>
        <v/>
      </c>
      <c r="P128" s="23" t="str">
        <f>IF($A128="","",'Процессы'!S128)</f>
        <v/>
      </c>
      <c r="Q128" s="23" t="str">
        <f>IF($A128="","",IF(COUNTA('Процессы'!B128,'Процессы'!E128,'Процессы'!F128,'Процессы'!H128,'Процессы'!I128,'Процессы'!J128,'Процессы'!M128,'Процессы'!O128,'Процессы'!P128,'Процессы'!R128,'Процессы'!S128)=11,"Готово","Есть пробелы"))</f>
        <v/>
      </c>
      <c r="R128" s="23" t="str">
        <f t="array" ref="R128">IF($A128="","",IFERROR(INDEX('Диаграммы'!$A$5:$A$104,MATCH($A128,'Диаграммы'!$B$5:$B$104,0)),"не настроена"))</f>
        <v/>
      </c>
      <c r="S128" s="23" t="str">
        <f t="array" ref="S128">IF(OR($A128="",$R128="не настроена"),"",IFERROR(INDEX('Диаграммы'!$M$5:$M$104,MATCH($R128,'Диаграммы'!$A$5:$A$104,0)),""))</f>
        <v/>
      </c>
      <c r="T128" s="23" t="str">
        <f t="array" ref="T128">IF(OR($A128="",$R128="не настроена"),"",IFERROR(HYPERLINK(INDEX('Диаграммы'!$O$5:$O$104,MATCH($R128,'Диаграммы'!$A$5:$A$104,0)),"открыть"),""))</f>
        <v/>
      </c>
    </row>
    <row r="129" ht="15.75" customHeight="1">
      <c r="A129" s="23" t="str">
        <f>IF('Процессы'!A129="","",'Процессы'!A129)</f>
        <v/>
      </c>
      <c r="B129" s="23" t="str">
        <f t="array" ref="B129">IF($A129="","",IFERROR(INDEX('Система'!$B$5:$B$14,MATCH('Процессы'!B129,'Система'!$A$5:$A$14,0)),"⚠ ID системы"))</f>
        <v/>
      </c>
      <c r="C129" s="23" t="str">
        <f>IF($A129="","",'Процессы'!C129)</f>
        <v/>
      </c>
      <c r="D129" s="23" t="str">
        <f>IF($A129="","",'Процессы'!E129)</f>
        <v/>
      </c>
      <c r="E129" s="23" t="str">
        <f>IF($A129="","",'Процессы'!F129)</f>
        <v/>
      </c>
      <c r="F129" s="23" t="str">
        <f>IF($A129="","",'Процессы'!H129)</f>
        <v/>
      </c>
      <c r="G129" s="23" t="str">
        <f>IF($A129="","",'Процессы'!I129)</f>
        <v/>
      </c>
      <c r="H129" s="23" t="str">
        <f>IF($A129="","",'Процессы'!J129)</f>
        <v/>
      </c>
      <c r="I129" s="23" t="str">
        <f t="array" ref="I129">IF($A129="","",IFERROR(INDEX('Позиции'!$C$5:$C$204,MATCH('Процессы'!M129,'Позиции'!$A$5:$A$204,0)),"⚠ ID позиции"))</f>
        <v/>
      </c>
      <c r="J129" s="23" t="str">
        <f>IF($A129="","",COUNTIF('Действия'!$B$5:$B$304,$A129))</f>
        <v/>
      </c>
      <c r="K129" s="23" t="str">
        <f>IF($A129="","",COUNTIF('Переходы'!$B$5:$B$304,$A129))</f>
        <v/>
      </c>
      <c r="L129" s="23" t="str">
        <f>IF($A129="","",'Процессы'!O129)</f>
        <v/>
      </c>
      <c r="M129" s="23" t="str">
        <f>IF($A129="","",'Процессы'!P129)</f>
        <v/>
      </c>
      <c r="N129" s="23" t="str">
        <f>IF($A129="","",'Процессы'!Q129)</f>
        <v/>
      </c>
      <c r="O129" s="23" t="str">
        <f>IF($A129="","",'Процессы'!R129)</f>
        <v/>
      </c>
      <c r="P129" s="23" t="str">
        <f>IF($A129="","",'Процессы'!S129)</f>
        <v/>
      </c>
      <c r="Q129" s="23" t="str">
        <f>IF($A129="","",IF(COUNTA('Процессы'!B129,'Процессы'!E129,'Процессы'!F129,'Процессы'!H129,'Процессы'!I129,'Процессы'!J129,'Процессы'!M129,'Процессы'!O129,'Процессы'!P129,'Процессы'!R129,'Процессы'!S129)=11,"Готово","Есть пробелы"))</f>
        <v/>
      </c>
      <c r="R129" s="23" t="str">
        <f t="array" ref="R129">IF($A129="","",IFERROR(INDEX('Диаграммы'!$A$5:$A$104,MATCH($A129,'Диаграммы'!$B$5:$B$104,0)),"не настроена"))</f>
        <v/>
      </c>
      <c r="S129" s="23" t="str">
        <f t="array" ref="S129">IF(OR($A129="",$R129="не настроена"),"",IFERROR(INDEX('Диаграммы'!$M$5:$M$104,MATCH($R129,'Диаграммы'!$A$5:$A$104,0)),""))</f>
        <v/>
      </c>
      <c r="T129" s="23" t="str">
        <f t="array" ref="T129">IF(OR($A129="",$R129="не настроена"),"",IFERROR(HYPERLINK(INDEX('Диаграммы'!$O$5:$O$104,MATCH($R129,'Диаграммы'!$A$5:$A$104,0)),"открыть"),""))</f>
        <v/>
      </c>
    </row>
    <row r="130" ht="15.75" customHeight="1">
      <c r="A130" s="23" t="str">
        <f>IF('Процессы'!A130="","",'Процессы'!A130)</f>
        <v/>
      </c>
      <c r="B130" s="23" t="str">
        <f t="array" ref="B130">IF($A130="","",IFERROR(INDEX('Система'!$B$5:$B$14,MATCH('Процессы'!B130,'Система'!$A$5:$A$14,0)),"⚠ ID системы"))</f>
        <v/>
      </c>
      <c r="C130" s="23" t="str">
        <f>IF($A130="","",'Процессы'!C130)</f>
        <v/>
      </c>
      <c r="D130" s="23" t="str">
        <f>IF($A130="","",'Процессы'!E130)</f>
        <v/>
      </c>
      <c r="E130" s="23" t="str">
        <f>IF($A130="","",'Процессы'!F130)</f>
        <v/>
      </c>
      <c r="F130" s="23" t="str">
        <f>IF($A130="","",'Процессы'!H130)</f>
        <v/>
      </c>
      <c r="G130" s="23" t="str">
        <f>IF($A130="","",'Процессы'!I130)</f>
        <v/>
      </c>
      <c r="H130" s="23" t="str">
        <f>IF($A130="","",'Процессы'!J130)</f>
        <v/>
      </c>
      <c r="I130" s="23" t="str">
        <f t="array" ref="I130">IF($A130="","",IFERROR(INDEX('Позиции'!$C$5:$C$204,MATCH('Процессы'!M130,'Позиции'!$A$5:$A$204,0)),"⚠ ID позиции"))</f>
        <v/>
      </c>
      <c r="J130" s="23" t="str">
        <f>IF($A130="","",COUNTIF('Действия'!$B$5:$B$304,$A130))</f>
        <v/>
      </c>
      <c r="K130" s="23" t="str">
        <f>IF($A130="","",COUNTIF('Переходы'!$B$5:$B$304,$A130))</f>
        <v/>
      </c>
      <c r="L130" s="23" t="str">
        <f>IF($A130="","",'Процессы'!O130)</f>
        <v/>
      </c>
      <c r="M130" s="23" t="str">
        <f>IF($A130="","",'Процессы'!P130)</f>
        <v/>
      </c>
      <c r="N130" s="23" t="str">
        <f>IF($A130="","",'Процессы'!Q130)</f>
        <v/>
      </c>
      <c r="O130" s="23" t="str">
        <f>IF($A130="","",'Процессы'!R130)</f>
        <v/>
      </c>
      <c r="P130" s="23" t="str">
        <f>IF($A130="","",'Процессы'!S130)</f>
        <v/>
      </c>
      <c r="Q130" s="23" t="str">
        <f>IF($A130="","",IF(COUNTA('Процессы'!B130,'Процессы'!E130,'Процессы'!F130,'Процессы'!H130,'Процессы'!I130,'Процессы'!J130,'Процессы'!M130,'Процессы'!O130,'Процессы'!P130,'Процессы'!R130,'Процессы'!S130)=11,"Готово","Есть пробелы"))</f>
        <v/>
      </c>
      <c r="R130" s="23" t="str">
        <f t="array" ref="R130">IF($A130="","",IFERROR(INDEX('Диаграммы'!$A$5:$A$104,MATCH($A130,'Диаграммы'!$B$5:$B$104,0)),"не настроена"))</f>
        <v/>
      </c>
      <c r="S130" s="23" t="str">
        <f t="array" ref="S130">IF(OR($A130="",$R130="не настроена"),"",IFERROR(INDEX('Диаграммы'!$M$5:$M$104,MATCH($R130,'Диаграммы'!$A$5:$A$104,0)),""))</f>
        <v/>
      </c>
      <c r="T130" s="23" t="str">
        <f t="array" ref="T130">IF(OR($A130="",$R130="не настроена"),"",IFERROR(HYPERLINK(INDEX('Диаграммы'!$O$5:$O$104,MATCH($R130,'Диаграммы'!$A$5:$A$104,0)),"открыть"),""))</f>
        <v/>
      </c>
    </row>
    <row r="131" ht="15.75" customHeight="1">
      <c r="A131" s="23" t="str">
        <f>IF('Процессы'!A131="","",'Процессы'!A131)</f>
        <v/>
      </c>
      <c r="B131" s="23" t="str">
        <f t="array" ref="B131">IF($A131="","",IFERROR(INDEX('Система'!$B$5:$B$14,MATCH('Процессы'!B131,'Система'!$A$5:$A$14,0)),"⚠ ID системы"))</f>
        <v/>
      </c>
      <c r="C131" s="23" t="str">
        <f>IF($A131="","",'Процессы'!C131)</f>
        <v/>
      </c>
      <c r="D131" s="23" t="str">
        <f>IF($A131="","",'Процессы'!E131)</f>
        <v/>
      </c>
      <c r="E131" s="23" t="str">
        <f>IF($A131="","",'Процессы'!F131)</f>
        <v/>
      </c>
      <c r="F131" s="23" t="str">
        <f>IF($A131="","",'Процессы'!H131)</f>
        <v/>
      </c>
      <c r="G131" s="23" t="str">
        <f>IF($A131="","",'Процессы'!I131)</f>
        <v/>
      </c>
      <c r="H131" s="23" t="str">
        <f>IF($A131="","",'Процессы'!J131)</f>
        <v/>
      </c>
      <c r="I131" s="23" t="str">
        <f t="array" ref="I131">IF($A131="","",IFERROR(INDEX('Позиции'!$C$5:$C$204,MATCH('Процессы'!M131,'Позиции'!$A$5:$A$204,0)),"⚠ ID позиции"))</f>
        <v/>
      </c>
      <c r="J131" s="23" t="str">
        <f>IF($A131="","",COUNTIF('Действия'!$B$5:$B$304,$A131))</f>
        <v/>
      </c>
      <c r="K131" s="23" t="str">
        <f>IF($A131="","",COUNTIF('Переходы'!$B$5:$B$304,$A131))</f>
        <v/>
      </c>
      <c r="L131" s="23" t="str">
        <f>IF($A131="","",'Процессы'!O131)</f>
        <v/>
      </c>
      <c r="M131" s="23" t="str">
        <f>IF($A131="","",'Процессы'!P131)</f>
        <v/>
      </c>
      <c r="N131" s="23" t="str">
        <f>IF($A131="","",'Процессы'!Q131)</f>
        <v/>
      </c>
      <c r="O131" s="23" t="str">
        <f>IF($A131="","",'Процессы'!R131)</f>
        <v/>
      </c>
      <c r="P131" s="23" t="str">
        <f>IF($A131="","",'Процессы'!S131)</f>
        <v/>
      </c>
      <c r="Q131" s="23" t="str">
        <f>IF($A131="","",IF(COUNTA('Процессы'!B131,'Процессы'!E131,'Процессы'!F131,'Процессы'!H131,'Процессы'!I131,'Процессы'!J131,'Процессы'!M131,'Процессы'!O131,'Процессы'!P131,'Процессы'!R131,'Процессы'!S131)=11,"Готово","Есть пробелы"))</f>
        <v/>
      </c>
      <c r="R131" s="23" t="str">
        <f t="array" ref="R131">IF($A131="","",IFERROR(INDEX('Диаграммы'!$A$5:$A$104,MATCH($A131,'Диаграммы'!$B$5:$B$104,0)),"не настроена"))</f>
        <v/>
      </c>
      <c r="S131" s="23" t="str">
        <f t="array" ref="S131">IF(OR($A131="",$R131="не настроена"),"",IFERROR(INDEX('Диаграммы'!$M$5:$M$104,MATCH($R131,'Диаграммы'!$A$5:$A$104,0)),""))</f>
        <v/>
      </c>
      <c r="T131" s="23" t="str">
        <f t="array" ref="T131">IF(OR($A131="",$R131="не настроена"),"",IFERROR(HYPERLINK(INDEX('Диаграммы'!$O$5:$O$104,MATCH($R131,'Диаграммы'!$A$5:$A$104,0)),"открыть"),""))</f>
        <v/>
      </c>
    </row>
    <row r="132" ht="15.75" customHeight="1">
      <c r="A132" s="23" t="str">
        <f>IF('Процессы'!A132="","",'Процессы'!A132)</f>
        <v/>
      </c>
      <c r="B132" s="23" t="str">
        <f t="array" ref="B132">IF($A132="","",IFERROR(INDEX('Система'!$B$5:$B$14,MATCH('Процессы'!B132,'Система'!$A$5:$A$14,0)),"⚠ ID системы"))</f>
        <v/>
      </c>
      <c r="C132" s="23" t="str">
        <f>IF($A132="","",'Процессы'!C132)</f>
        <v/>
      </c>
      <c r="D132" s="23" t="str">
        <f>IF($A132="","",'Процессы'!E132)</f>
        <v/>
      </c>
      <c r="E132" s="23" t="str">
        <f>IF($A132="","",'Процессы'!F132)</f>
        <v/>
      </c>
      <c r="F132" s="23" t="str">
        <f>IF($A132="","",'Процессы'!H132)</f>
        <v/>
      </c>
      <c r="G132" s="23" t="str">
        <f>IF($A132="","",'Процессы'!I132)</f>
        <v/>
      </c>
      <c r="H132" s="23" t="str">
        <f>IF($A132="","",'Процессы'!J132)</f>
        <v/>
      </c>
      <c r="I132" s="23" t="str">
        <f t="array" ref="I132">IF($A132="","",IFERROR(INDEX('Позиции'!$C$5:$C$204,MATCH('Процессы'!M132,'Позиции'!$A$5:$A$204,0)),"⚠ ID позиции"))</f>
        <v/>
      </c>
      <c r="J132" s="23" t="str">
        <f>IF($A132="","",COUNTIF('Действия'!$B$5:$B$304,$A132))</f>
        <v/>
      </c>
      <c r="K132" s="23" t="str">
        <f>IF($A132="","",COUNTIF('Переходы'!$B$5:$B$304,$A132))</f>
        <v/>
      </c>
      <c r="L132" s="23" t="str">
        <f>IF($A132="","",'Процессы'!O132)</f>
        <v/>
      </c>
      <c r="M132" s="23" t="str">
        <f>IF($A132="","",'Процессы'!P132)</f>
        <v/>
      </c>
      <c r="N132" s="23" t="str">
        <f>IF($A132="","",'Процессы'!Q132)</f>
        <v/>
      </c>
      <c r="O132" s="23" t="str">
        <f>IF($A132="","",'Процессы'!R132)</f>
        <v/>
      </c>
      <c r="P132" s="23" t="str">
        <f>IF($A132="","",'Процессы'!S132)</f>
        <v/>
      </c>
      <c r="Q132" s="23" t="str">
        <f>IF($A132="","",IF(COUNTA('Процессы'!B132,'Процессы'!E132,'Процессы'!F132,'Процессы'!H132,'Процессы'!I132,'Процессы'!J132,'Процессы'!M132,'Процессы'!O132,'Процессы'!P132,'Процессы'!R132,'Процессы'!S132)=11,"Готово","Есть пробелы"))</f>
        <v/>
      </c>
      <c r="R132" s="23" t="str">
        <f t="array" ref="R132">IF($A132="","",IFERROR(INDEX('Диаграммы'!$A$5:$A$104,MATCH($A132,'Диаграммы'!$B$5:$B$104,0)),"не настроена"))</f>
        <v/>
      </c>
      <c r="S132" s="23" t="str">
        <f t="array" ref="S132">IF(OR($A132="",$R132="не настроена"),"",IFERROR(INDEX('Диаграммы'!$M$5:$M$104,MATCH($R132,'Диаграммы'!$A$5:$A$104,0)),""))</f>
        <v/>
      </c>
      <c r="T132" s="23" t="str">
        <f t="array" ref="T132">IF(OR($A132="",$R132="не настроена"),"",IFERROR(HYPERLINK(INDEX('Диаграммы'!$O$5:$O$104,MATCH($R132,'Диаграммы'!$A$5:$A$104,0)),"открыть"),""))</f>
        <v/>
      </c>
    </row>
    <row r="133" ht="15.75" customHeight="1">
      <c r="A133" s="23" t="str">
        <f>IF('Процессы'!A133="","",'Процессы'!A133)</f>
        <v/>
      </c>
      <c r="B133" s="23" t="str">
        <f t="array" ref="B133">IF($A133="","",IFERROR(INDEX('Система'!$B$5:$B$14,MATCH('Процессы'!B133,'Система'!$A$5:$A$14,0)),"⚠ ID системы"))</f>
        <v/>
      </c>
      <c r="C133" s="23" t="str">
        <f>IF($A133="","",'Процессы'!C133)</f>
        <v/>
      </c>
      <c r="D133" s="23" t="str">
        <f>IF($A133="","",'Процессы'!E133)</f>
        <v/>
      </c>
      <c r="E133" s="23" t="str">
        <f>IF($A133="","",'Процессы'!F133)</f>
        <v/>
      </c>
      <c r="F133" s="23" t="str">
        <f>IF($A133="","",'Процессы'!H133)</f>
        <v/>
      </c>
      <c r="G133" s="23" t="str">
        <f>IF($A133="","",'Процессы'!I133)</f>
        <v/>
      </c>
      <c r="H133" s="23" t="str">
        <f>IF($A133="","",'Процессы'!J133)</f>
        <v/>
      </c>
      <c r="I133" s="23" t="str">
        <f t="array" ref="I133">IF($A133="","",IFERROR(INDEX('Позиции'!$C$5:$C$204,MATCH('Процессы'!M133,'Позиции'!$A$5:$A$204,0)),"⚠ ID позиции"))</f>
        <v/>
      </c>
      <c r="J133" s="23" t="str">
        <f>IF($A133="","",COUNTIF('Действия'!$B$5:$B$304,$A133))</f>
        <v/>
      </c>
      <c r="K133" s="23" t="str">
        <f>IF($A133="","",COUNTIF('Переходы'!$B$5:$B$304,$A133))</f>
        <v/>
      </c>
      <c r="L133" s="23" t="str">
        <f>IF($A133="","",'Процессы'!O133)</f>
        <v/>
      </c>
      <c r="M133" s="23" t="str">
        <f>IF($A133="","",'Процессы'!P133)</f>
        <v/>
      </c>
      <c r="N133" s="23" t="str">
        <f>IF($A133="","",'Процессы'!Q133)</f>
        <v/>
      </c>
      <c r="O133" s="23" t="str">
        <f>IF($A133="","",'Процессы'!R133)</f>
        <v/>
      </c>
      <c r="P133" s="23" t="str">
        <f>IF($A133="","",'Процессы'!S133)</f>
        <v/>
      </c>
      <c r="Q133" s="23" t="str">
        <f>IF($A133="","",IF(COUNTA('Процессы'!B133,'Процессы'!E133,'Процессы'!F133,'Процессы'!H133,'Процессы'!I133,'Процессы'!J133,'Процессы'!M133,'Процессы'!O133,'Процессы'!P133,'Процессы'!R133,'Процессы'!S133)=11,"Готово","Есть пробелы"))</f>
        <v/>
      </c>
      <c r="R133" s="23" t="str">
        <f t="array" ref="R133">IF($A133="","",IFERROR(INDEX('Диаграммы'!$A$5:$A$104,MATCH($A133,'Диаграммы'!$B$5:$B$104,0)),"не настроена"))</f>
        <v/>
      </c>
      <c r="S133" s="23" t="str">
        <f t="array" ref="S133">IF(OR($A133="",$R133="не настроена"),"",IFERROR(INDEX('Диаграммы'!$M$5:$M$104,MATCH($R133,'Диаграммы'!$A$5:$A$104,0)),""))</f>
        <v/>
      </c>
      <c r="T133" s="23" t="str">
        <f t="array" ref="T133">IF(OR($A133="",$R133="не настроена"),"",IFERROR(HYPERLINK(INDEX('Диаграммы'!$O$5:$O$104,MATCH($R133,'Диаграммы'!$A$5:$A$104,0)),"открыть"),""))</f>
        <v/>
      </c>
    </row>
    <row r="134" ht="15.75" customHeight="1">
      <c r="A134" s="23" t="str">
        <f>IF('Процессы'!A134="","",'Процессы'!A134)</f>
        <v/>
      </c>
      <c r="B134" s="23" t="str">
        <f t="array" ref="B134">IF($A134="","",IFERROR(INDEX('Система'!$B$5:$B$14,MATCH('Процессы'!B134,'Система'!$A$5:$A$14,0)),"⚠ ID системы"))</f>
        <v/>
      </c>
      <c r="C134" s="23" t="str">
        <f>IF($A134="","",'Процессы'!C134)</f>
        <v/>
      </c>
      <c r="D134" s="23" t="str">
        <f>IF($A134="","",'Процессы'!E134)</f>
        <v/>
      </c>
      <c r="E134" s="23" t="str">
        <f>IF($A134="","",'Процессы'!F134)</f>
        <v/>
      </c>
      <c r="F134" s="23" t="str">
        <f>IF($A134="","",'Процессы'!H134)</f>
        <v/>
      </c>
      <c r="G134" s="23" t="str">
        <f>IF($A134="","",'Процессы'!I134)</f>
        <v/>
      </c>
      <c r="H134" s="23" t="str">
        <f>IF($A134="","",'Процессы'!J134)</f>
        <v/>
      </c>
      <c r="I134" s="23" t="str">
        <f t="array" ref="I134">IF($A134="","",IFERROR(INDEX('Позиции'!$C$5:$C$204,MATCH('Процессы'!M134,'Позиции'!$A$5:$A$204,0)),"⚠ ID позиции"))</f>
        <v/>
      </c>
      <c r="J134" s="23" t="str">
        <f>IF($A134="","",COUNTIF('Действия'!$B$5:$B$304,$A134))</f>
        <v/>
      </c>
      <c r="K134" s="23" t="str">
        <f>IF($A134="","",COUNTIF('Переходы'!$B$5:$B$304,$A134))</f>
        <v/>
      </c>
      <c r="L134" s="23" t="str">
        <f>IF($A134="","",'Процессы'!O134)</f>
        <v/>
      </c>
      <c r="M134" s="23" t="str">
        <f>IF($A134="","",'Процессы'!P134)</f>
        <v/>
      </c>
      <c r="N134" s="23" t="str">
        <f>IF($A134="","",'Процессы'!Q134)</f>
        <v/>
      </c>
      <c r="O134" s="23" t="str">
        <f>IF($A134="","",'Процессы'!R134)</f>
        <v/>
      </c>
      <c r="P134" s="23" t="str">
        <f>IF($A134="","",'Процессы'!S134)</f>
        <v/>
      </c>
      <c r="Q134" s="23" t="str">
        <f>IF($A134="","",IF(COUNTA('Процессы'!B134,'Процессы'!E134,'Процессы'!F134,'Процессы'!H134,'Процессы'!I134,'Процессы'!J134,'Процессы'!M134,'Процессы'!O134,'Процессы'!P134,'Процессы'!R134,'Процессы'!S134)=11,"Готово","Есть пробелы"))</f>
        <v/>
      </c>
      <c r="R134" s="23" t="str">
        <f t="array" ref="R134">IF($A134="","",IFERROR(INDEX('Диаграммы'!$A$5:$A$104,MATCH($A134,'Диаграммы'!$B$5:$B$104,0)),"не настроена"))</f>
        <v/>
      </c>
      <c r="S134" s="23" t="str">
        <f t="array" ref="S134">IF(OR($A134="",$R134="не настроена"),"",IFERROR(INDEX('Диаграммы'!$M$5:$M$104,MATCH($R134,'Диаграммы'!$A$5:$A$104,0)),""))</f>
        <v/>
      </c>
      <c r="T134" s="23" t="str">
        <f t="array" ref="T134">IF(OR($A134="",$R134="не настроена"),"",IFERROR(HYPERLINK(INDEX('Диаграммы'!$O$5:$O$104,MATCH($R134,'Диаграммы'!$A$5:$A$104,0)),"открыть"),""))</f>
        <v/>
      </c>
    </row>
    <row r="135" ht="15.75" customHeight="1">
      <c r="A135" s="23" t="str">
        <f>IF('Процессы'!A135="","",'Процессы'!A135)</f>
        <v/>
      </c>
      <c r="B135" s="23" t="str">
        <f t="array" ref="B135">IF($A135="","",IFERROR(INDEX('Система'!$B$5:$B$14,MATCH('Процессы'!B135,'Система'!$A$5:$A$14,0)),"⚠ ID системы"))</f>
        <v/>
      </c>
      <c r="C135" s="23" t="str">
        <f>IF($A135="","",'Процессы'!C135)</f>
        <v/>
      </c>
      <c r="D135" s="23" t="str">
        <f>IF($A135="","",'Процессы'!E135)</f>
        <v/>
      </c>
      <c r="E135" s="23" t="str">
        <f>IF($A135="","",'Процессы'!F135)</f>
        <v/>
      </c>
      <c r="F135" s="23" t="str">
        <f>IF($A135="","",'Процессы'!H135)</f>
        <v/>
      </c>
      <c r="G135" s="23" t="str">
        <f>IF($A135="","",'Процессы'!I135)</f>
        <v/>
      </c>
      <c r="H135" s="23" t="str">
        <f>IF($A135="","",'Процессы'!J135)</f>
        <v/>
      </c>
      <c r="I135" s="23" t="str">
        <f t="array" ref="I135">IF($A135="","",IFERROR(INDEX('Позиции'!$C$5:$C$204,MATCH('Процессы'!M135,'Позиции'!$A$5:$A$204,0)),"⚠ ID позиции"))</f>
        <v/>
      </c>
      <c r="J135" s="23" t="str">
        <f>IF($A135="","",COUNTIF('Действия'!$B$5:$B$304,$A135))</f>
        <v/>
      </c>
      <c r="K135" s="23" t="str">
        <f>IF($A135="","",COUNTIF('Переходы'!$B$5:$B$304,$A135))</f>
        <v/>
      </c>
      <c r="L135" s="23" t="str">
        <f>IF($A135="","",'Процессы'!O135)</f>
        <v/>
      </c>
      <c r="M135" s="23" t="str">
        <f>IF($A135="","",'Процессы'!P135)</f>
        <v/>
      </c>
      <c r="N135" s="23" t="str">
        <f>IF($A135="","",'Процессы'!Q135)</f>
        <v/>
      </c>
      <c r="O135" s="23" t="str">
        <f>IF($A135="","",'Процессы'!R135)</f>
        <v/>
      </c>
      <c r="P135" s="23" t="str">
        <f>IF($A135="","",'Процессы'!S135)</f>
        <v/>
      </c>
      <c r="Q135" s="23" t="str">
        <f>IF($A135="","",IF(COUNTA('Процессы'!B135,'Процессы'!E135,'Процессы'!F135,'Процессы'!H135,'Процессы'!I135,'Процессы'!J135,'Процессы'!M135,'Процессы'!O135,'Процессы'!P135,'Процессы'!R135,'Процессы'!S135)=11,"Готово","Есть пробелы"))</f>
        <v/>
      </c>
      <c r="R135" s="23" t="str">
        <f t="array" ref="R135">IF($A135="","",IFERROR(INDEX('Диаграммы'!$A$5:$A$104,MATCH($A135,'Диаграммы'!$B$5:$B$104,0)),"не настроена"))</f>
        <v/>
      </c>
      <c r="S135" s="23" t="str">
        <f t="array" ref="S135">IF(OR($A135="",$R135="не настроена"),"",IFERROR(INDEX('Диаграммы'!$M$5:$M$104,MATCH($R135,'Диаграммы'!$A$5:$A$104,0)),""))</f>
        <v/>
      </c>
      <c r="T135" s="23" t="str">
        <f t="array" ref="T135">IF(OR($A135="",$R135="не настроена"),"",IFERROR(HYPERLINK(INDEX('Диаграммы'!$O$5:$O$104,MATCH($R135,'Диаграммы'!$A$5:$A$104,0)),"открыть"),""))</f>
        <v/>
      </c>
    </row>
    <row r="136" ht="15.75" customHeight="1">
      <c r="A136" s="23" t="str">
        <f>IF('Процессы'!A136="","",'Процессы'!A136)</f>
        <v/>
      </c>
      <c r="B136" s="23" t="str">
        <f t="array" ref="B136">IF($A136="","",IFERROR(INDEX('Система'!$B$5:$B$14,MATCH('Процессы'!B136,'Система'!$A$5:$A$14,0)),"⚠ ID системы"))</f>
        <v/>
      </c>
      <c r="C136" s="23" t="str">
        <f>IF($A136="","",'Процессы'!C136)</f>
        <v/>
      </c>
      <c r="D136" s="23" t="str">
        <f>IF($A136="","",'Процессы'!E136)</f>
        <v/>
      </c>
      <c r="E136" s="23" t="str">
        <f>IF($A136="","",'Процессы'!F136)</f>
        <v/>
      </c>
      <c r="F136" s="23" t="str">
        <f>IF($A136="","",'Процессы'!H136)</f>
        <v/>
      </c>
      <c r="G136" s="23" t="str">
        <f>IF($A136="","",'Процессы'!I136)</f>
        <v/>
      </c>
      <c r="H136" s="23" t="str">
        <f>IF($A136="","",'Процессы'!J136)</f>
        <v/>
      </c>
      <c r="I136" s="23" t="str">
        <f t="array" ref="I136">IF($A136="","",IFERROR(INDEX('Позиции'!$C$5:$C$204,MATCH('Процессы'!M136,'Позиции'!$A$5:$A$204,0)),"⚠ ID позиции"))</f>
        <v/>
      </c>
      <c r="J136" s="23" t="str">
        <f>IF($A136="","",COUNTIF('Действия'!$B$5:$B$304,$A136))</f>
        <v/>
      </c>
      <c r="K136" s="23" t="str">
        <f>IF($A136="","",COUNTIF('Переходы'!$B$5:$B$304,$A136))</f>
        <v/>
      </c>
      <c r="L136" s="23" t="str">
        <f>IF($A136="","",'Процессы'!O136)</f>
        <v/>
      </c>
      <c r="M136" s="23" t="str">
        <f>IF($A136="","",'Процессы'!P136)</f>
        <v/>
      </c>
      <c r="N136" s="23" t="str">
        <f>IF($A136="","",'Процессы'!Q136)</f>
        <v/>
      </c>
      <c r="O136" s="23" t="str">
        <f>IF($A136="","",'Процессы'!R136)</f>
        <v/>
      </c>
      <c r="P136" s="23" t="str">
        <f>IF($A136="","",'Процессы'!S136)</f>
        <v/>
      </c>
      <c r="Q136" s="23" t="str">
        <f>IF($A136="","",IF(COUNTA('Процессы'!B136,'Процессы'!E136,'Процессы'!F136,'Процессы'!H136,'Процессы'!I136,'Процессы'!J136,'Процессы'!M136,'Процессы'!O136,'Процессы'!P136,'Процессы'!R136,'Процессы'!S136)=11,"Готово","Есть пробелы"))</f>
        <v/>
      </c>
      <c r="R136" s="23" t="str">
        <f t="array" ref="R136">IF($A136="","",IFERROR(INDEX('Диаграммы'!$A$5:$A$104,MATCH($A136,'Диаграммы'!$B$5:$B$104,0)),"не настроена"))</f>
        <v/>
      </c>
      <c r="S136" s="23" t="str">
        <f t="array" ref="S136">IF(OR($A136="",$R136="не настроена"),"",IFERROR(INDEX('Диаграммы'!$M$5:$M$104,MATCH($R136,'Диаграммы'!$A$5:$A$104,0)),""))</f>
        <v/>
      </c>
      <c r="T136" s="23" t="str">
        <f t="array" ref="T136">IF(OR($A136="",$R136="не настроена"),"",IFERROR(HYPERLINK(INDEX('Диаграммы'!$O$5:$O$104,MATCH($R136,'Диаграммы'!$A$5:$A$104,0)),"открыть"),""))</f>
        <v/>
      </c>
    </row>
    <row r="137" ht="15.75" customHeight="1">
      <c r="A137" s="23" t="str">
        <f>IF('Процессы'!A137="","",'Процессы'!A137)</f>
        <v/>
      </c>
      <c r="B137" s="23" t="str">
        <f t="array" ref="B137">IF($A137="","",IFERROR(INDEX('Система'!$B$5:$B$14,MATCH('Процессы'!B137,'Система'!$A$5:$A$14,0)),"⚠ ID системы"))</f>
        <v/>
      </c>
      <c r="C137" s="23" t="str">
        <f>IF($A137="","",'Процессы'!C137)</f>
        <v/>
      </c>
      <c r="D137" s="23" t="str">
        <f>IF($A137="","",'Процессы'!E137)</f>
        <v/>
      </c>
      <c r="E137" s="23" t="str">
        <f>IF($A137="","",'Процессы'!F137)</f>
        <v/>
      </c>
      <c r="F137" s="23" t="str">
        <f>IF($A137="","",'Процессы'!H137)</f>
        <v/>
      </c>
      <c r="G137" s="23" t="str">
        <f>IF($A137="","",'Процессы'!I137)</f>
        <v/>
      </c>
      <c r="H137" s="23" t="str">
        <f>IF($A137="","",'Процессы'!J137)</f>
        <v/>
      </c>
      <c r="I137" s="23" t="str">
        <f t="array" ref="I137">IF($A137="","",IFERROR(INDEX('Позиции'!$C$5:$C$204,MATCH('Процессы'!M137,'Позиции'!$A$5:$A$204,0)),"⚠ ID позиции"))</f>
        <v/>
      </c>
      <c r="J137" s="23" t="str">
        <f>IF($A137="","",COUNTIF('Действия'!$B$5:$B$304,$A137))</f>
        <v/>
      </c>
      <c r="K137" s="23" t="str">
        <f>IF($A137="","",COUNTIF('Переходы'!$B$5:$B$304,$A137))</f>
        <v/>
      </c>
      <c r="L137" s="23" t="str">
        <f>IF($A137="","",'Процессы'!O137)</f>
        <v/>
      </c>
      <c r="M137" s="23" t="str">
        <f>IF($A137="","",'Процессы'!P137)</f>
        <v/>
      </c>
      <c r="N137" s="23" t="str">
        <f>IF($A137="","",'Процессы'!Q137)</f>
        <v/>
      </c>
      <c r="O137" s="23" t="str">
        <f>IF($A137="","",'Процессы'!R137)</f>
        <v/>
      </c>
      <c r="P137" s="23" t="str">
        <f>IF($A137="","",'Процессы'!S137)</f>
        <v/>
      </c>
      <c r="Q137" s="23" t="str">
        <f>IF($A137="","",IF(COUNTA('Процессы'!B137,'Процессы'!E137,'Процессы'!F137,'Процессы'!H137,'Процессы'!I137,'Процессы'!J137,'Процессы'!M137,'Процессы'!O137,'Процессы'!P137,'Процессы'!R137,'Процессы'!S137)=11,"Готово","Есть пробелы"))</f>
        <v/>
      </c>
      <c r="R137" s="23" t="str">
        <f t="array" ref="R137">IF($A137="","",IFERROR(INDEX('Диаграммы'!$A$5:$A$104,MATCH($A137,'Диаграммы'!$B$5:$B$104,0)),"не настроена"))</f>
        <v/>
      </c>
      <c r="S137" s="23" t="str">
        <f t="array" ref="S137">IF(OR($A137="",$R137="не настроена"),"",IFERROR(INDEX('Диаграммы'!$M$5:$M$104,MATCH($R137,'Диаграммы'!$A$5:$A$104,0)),""))</f>
        <v/>
      </c>
      <c r="T137" s="23" t="str">
        <f t="array" ref="T137">IF(OR($A137="",$R137="не настроена"),"",IFERROR(HYPERLINK(INDEX('Диаграммы'!$O$5:$O$104,MATCH($R137,'Диаграммы'!$A$5:$A$104,0)),"открыть"),""))</f>
        <v/>
      </c>
    </row>
    <row r="138" ht="15.75" customHeight="1">
      <c r="A138" s="23" t="str">
        <f>IF('Процессы'!A138="","",'Процессы'!A138)</f>
        <v/>
      </c>
      <c r="B138" s="23" t="str">
        <f t="array" ref="B138">IF($A138="","",IFERROR(INDEX('Система'!$B$5:$B$14,MATCH('Процессы'!B138,'Система'!$A$5:$A$14,0)),"⚠ ID системы"))</f>
        <v/>
      </c>
      <c r="C138" s="23" t="str">
        <f>IF($A138="","",'Процессы'!C138)</f>
        <v/>
      </c>
      <c r="D138" s="23" t="str">
        <f>IF($A138="","",'Процессы'!E138)</f>
        <v/>
      </c>
      <c r="E138" s="23" t="str">
        <f>IF($A138="","",'Процессы'!F138)</f>
        <v/>
      </c>
      <c r="F138" s="23" t="str">
        <f>IF($A138="","",'Процессы'!H138)</f>
        <v/>
      </c>
      <c r="G138" s="23" t="str">
        <f>IF($A138="","",'Процессы'!I138)</f>
        <v/>
      </c>
      <c r="H138" s="23" t="str">
        <f>IF($A138="","",'Процессы'!J138)</f>
        <v/>
      </c>
      <c r="I138" s="23" t="str">
        <f t="array" ref="I138">IF($A138="","",IFERROR(INDEX('Позиции'!$C$5:$C$204,MATCH('Процессы'!M138,'Позиции'!$A$5:$A$204,0)),"⚠ ID позиции"))</f>
        <v/>
      </c>
      <c r="J138" s="23" t="str">
        <f>IF($A138="","",COUNTIF('Действия'!$B$5:$B$304,$A138))</f>
        <v/>
      </c>
      <c r="K138" s="23" t="str">
        <f>IF($A138="","",COUNTIF('Переходы'!$B$5:$B$304,$A138))</f>
        <v/>
      </c>
      <c r="L138" s="23" t="str">
        <f>IF($A138="","",'Процессы'!O138)</f>
        <v/>
      </c>
      <c r="M138" s="23" t="str">
        <f>IF($A138="","",'Процессы'!P138)</f>
        <v/>
      </c>
      <c r="N138" s="23" t="str">
        <f>IF($A138="","",'Процессы'!Q138)</f>
        <v/>
      </c>
      <c r="O138" s="23" t="str">
        <f>IF($A138="","",'Процессы'!R138)</f>
        <v/>
      </c>
      <c r="P138" s="23" t="str">
        <f>IF($A138="","",'Процессы'!S138)</f>
        <v/>
      </c>
      <c r="Q138" s="23" t="str">
        <f>IF($A138="","",IF(COUNTA('Процессы'!B138,'Процессы'!E138,'Процессы'!F138,'Процессы'!H138,'Процессы'!I138,'Процессы'!J138,'Процессы'!M138,'Процессы'!O138,'Процессы'!P138,'Процессы'!R138,'Процессы'!S138)=11,"Готово","Есть пробелы"))</f>
        <v/>
      </c>
      <c r="R138" s="23" t="str">
        <f t="array" ref="R138">IF($A138="","",IFERROR(INDEX('Диаграммы'!$A$5:$A$104,MATCH($A138,'Диаграммы'!$B$5:$B$104,0)),"не настроена"))</f>
        <v/>
      </c>
      <c r="S138" s="23" t="str">
        <f t="array" ref="S138">IF(OR($A138="",$R138="не настроена"),"",IFERROR(INDEX('Диаграммы'!$M$5:$M$104,MATCH($R138,'Диаграммы'!$A$5:$A$104,0)),""))</f>
        <v/>
      </c>
      <c r="T138" s="23" t="str">
        <f t="array" ref="T138">IF(OR($A138="",$R138="не настроена"),"",IFERROR(HYPERLINK(INDEX('Диаграммы'!$O$5:$O$104,MATCH($R138,'Диаграммы'!$A$5:$A$104,0)),"открыть"),""))</f>
        <v/>
      </c>
    </row>
    <row r="139" ht="15.75" customHeight="1">
      <c r="A139" s="23" t="str">
        <f>IF('Процессы'!A139="","",'Процессы'!A139)</f>
        <v/>
      </c>
      <c r="B139" s="23" t="str">
        <f t="array" ref="B139">IF($A139="","",IFERROR(INDEX('Система'!$B$5:$B$14,MATCH('Процессы'!B139,'Система'!$A$5:$A$14,0)),"⚠ ID системы"))</f>
        <v/>
      </c>
      <c r="C139" s="23" t="str">
        <f>IF($A139="","",'Процессы'!C139)</f>
        <v/>
      </c>
      <c r="D139" s="23" t="str">
        <f>IF($A139="","",'Процессы'!E139)</f>
        <v/>
      </c>
      <c r="E139" s="23" t="str">
        <f>IF($A139="","",'Процессы'!F139)</f>
        <v/>
      </c>
      <c r="F139" s="23" t="str">
        <f>IF($A139="","",'Процессы'!H139)</f>
        <v/>
      </c>
      <c r="G139" s="23" t="str">
        <f>IF($A139="","",'Процессы'!I139)</f>
        <v/>
      </c>
      <c r="H139" s="23" t="str">
        <f>IF($A139="","",'Процессы'!J139)</f>
        <v/>
      </c>
      <c r="I139" s="23" t="str">
        <f t="array" ref="I139">IF($A139="","",IFERROR(INDEX('Позиции'!$C$5:$C$204,MATCH('Процессы'!M139,'Позиции'!$A$5:$A$204,0)),"⚠ ID позиции"))</f>
        <v/>
      </c>
      <c r="J139" s="23" t="str">
        <f>IF($A139="","",COUNTIF('Действия'!$B$5:$B$304,$A139))</f>
        <v/>
      </c>
      <c r="K139" s="23" t="str">
        <f>IF($A139="","",COUNTIF('Переходы'!$B$5:$B$304,$A139))</f>
        <v/>
      </c>
      <c r="L139" s="23" t="str">
        <f>IF($A139="","",'Процессы'!O139)</f>
        <v/>
      </c>
      <c r="M139" s="23" t="str">
        <f>IF($A139="","",'Процессы'!P139)</f>
        <v/>
      </c>
      <c r="N139" s="23" t="str">
        <f>IF($A139="","",'Процессы'!Q139)</f>
        <v/>
      </c>
      <c r="O139" s="23" t="str">
        <f>IF($A139="","",'Процессы'!R139)</f>
        <v/>
      </c>
      <c r="P139" s="23" t="str">
        <f>IF($A139="","",'Процессы'!S139)</f>
        <v/>
      </c>
      <c r="Q139" s="23" t="str">
        <f>IF($A139="","",IF(COUNTA('Процессы'!B139,'Процессы'!E139,'Процессы'!F139,'Процессы'!H139,'Процессы'!I139,'Процессы'!J139,'Процессы'!M139,'Процессы'!O139,'Процессы'!P139,'Процессы'!R139,'Процессы'!S139)=11,"Готово","Есть пробелы"))</f>
        <v/>
      </c>
      <c r="R139" s="23" t="str">
        <f t="array" ref="R139">IF($A139="","",IFERROR(INDEX('Диаграммы'!$A$5:$A$104,MATCH($A139,'Диаграммы'!$B$5:$B$104,0)),"не настроена"))</f>
        <v/>
      </c>
      <c r="S139" s="23" t="str">
        <f t="array" ref="S139">IF(OR($A139="",$R139="не настроена"),"",IFERROR(INDEX('Диаграммы'!$M$5:$M$104,MATCH($R139,'Диаграммы'!$A$5:$A$104,0)),""))</f>
        <v/>
      </c>
      <c r="T139" s="23" t="str">
        <f t="array" ref="T139">IF(OR($A139="",$R139="не настроена"),"",IFERROR(HYPERLINK(INDEX('Диаграммы'!$O$5:$O$104,MATCH($R139,'Диаграммы'!$A$5:$A$104,0)),"открыть"),""))</f>
        <v/>
      </c>
    </row>
    <row r="140" ht="15.75" customHeight="1">
      <c r="A140" s="23" t="str">
        <f>IF('Процессы'!A140="","",'Процессы'!A140)</f>
        <v/>
      </c>
      <c r="B140" s="23" t="str">
        <f t="array" ref="B140">IF($A140="","",IFERROR(INDEX('Система'!$B$5:$B$14,MATCH('Процессы'!B140,'Система'!$A$5:$A$14,0)),"⚠ ID системы"))</f>
        <v/>
      </c>
      <c r="C140" s="23" t="str">
        <f>IF($A140="","",'Процессы'!C140)</f>
        <v/>
      </c>
      <c r="D140" s="23" t="str">
        <f>IF($A140="","",'Процессы'!E140)</f>
        <v/>
      </c>
      <c r="E140" s="23" t="str">
        <f>IF($A140="","",'Процессы'!F140)</f>
        <v/>
      </c>
      <c r="F140" s="23" t="str">
        <f>IF($A140="","",'Процессы'!H140)</f>
        <v/>
      </c>
      <c r="G140" s="23" t="str">
        <f>IF($A140="","",'Процессы'!I140)</f>
        <v/>
      </c>
      <c r="H140" s="23" t="str">
        <f>IF($A140="","",'Процессы'!J140)</f>
        <v/>
      </c>
      <c r="I140" s="23" t="str">
        <f t="array" ref="I140">IF($A140="","",IFERROR(INDEX('Позиции'!$C$5:$C$204,MATCH('Процессы'!M140,'Позиции'!$A$5:$A$204,0)),"⚠ ID позиции"))</f>
        <v/>
      </c>
      <c r="J140" s="23" t="str">
        <f>IF($A140="","",COUNTIF('Действия'!$B$5:$B$304,$A140))</f>
        <v/>
      </c>
      <c r="K140" s="23" t="str">
        <f>IF($A140="","",COUNTIF('Переходы'!$B$5:$B$304,$A140))</f>
        <v/>
      </c>
      <c r="L140" s="23" t="str">
        <f>IF($A140="","",'Процессы'!O140)</f>
        <v/>
      </c>
      <c r="M140" s="23" t="str">
        <f>IF($A140="","",'Процессы'!P140)</f>
        <v/>
      </c>
      <c r="N140" s="23" t="str">
        <f>IF($A140="","",'Процессы'!Q140)</f>
        <v/>
      </c>
      <c r="O140" s="23" t="str">
        <f>IF($A140="","",'Процессы'!R140)</f>
        <v/>
      </c>
      <c r="P140" s="23" t="str">
        <f>IF($A140="","",'Процессы'!S140)</f>
        <v/>
      </c>
      <c r="Q140" s="23" t="str">
        <f>IF($A140="","",IF(COUNTA('Процессы'!B140,'Процессы'!E140,'Процессы'!F140,'Процессы'!H140,'Процессы'!I140,'Процессы'!J140,'Процессы'!M140,'Процессы'!O140,'Процессы'!P140,'Процессы'!R140,'Процессы'!S140)=11,"Готово","Есть пробелы"))</f>
        <v/>
      </c>
      <c r="R140" s="23" t="str">
        <f t="array" ref="R140">IF($A140="","",IFERROR(INDEX('Диаграммы'!$A$5:$A$104,MATCH($A140,'Диаграммы'!$B$5:$B$104,0)),"не настроена"))</f>
        <v/>
      </c>
      <c r="S140" s="23" t="str">
        <f t="array" ref="S140">IF(OR($A140="",$R140="не настроена"),"",IFERROR(INDEX('Диаграммы'!$M$5:$M$104,MATCH($R140,'Диаграммы'!$A$5:$A$104,0)),""))</f>
        <v/>
      </c>
      <c r="T140" s="23" t="str">
        <f t="array" ref="T140">IF(OR($A140="",$R140="не настроена"),"",IFERROR(HYPERLINK(INDEX('Диаграммы'!$O$5:$O$104,MATCH($R140,'Диаграммы'!$A$5:$A$104,0)),"открыть"),""))</f>
        <v/>
      </c>
    </row>
    <row r="141" ht="15.75" customHeight="1">
      <c r="A141" s="23" t="str">
        <f>IF('Процессы'!A141="","",'Процессы'!A141)</f>
        <v/>
      </c>
      <c r="B141" s="23" t="str">
        <f t="array" ref="B141">IF($A141="","",IFERROR(INDEX('Система'!$B$5:$B$14,MATCH('Процессы'!B141,'Система'!$A$5:$A$14,0)),"⚠ ID системы"))</f>
        <v/>
      </c>
      <c r="C141" s="23" t="str">
        <f>IF($A141="","",'Процессы'!C141)</f>
        <v/>
      </c>
      <c r="D141" s="23" t="str">
        <f>IF($A141="","",'Процессы'!E141)</f>
        <v/>
      </c>
      <c r="E141" s="23" t="str">
        <f>IF($A141="","",'Процессы'!F141)</f>
        <v/>
      </c>
      <c r="F141" s="23" t="str">
        <f>IF($A141="","",'Процессы'!H141)</f>
        <v/>
      </c>
      <c r="G141" s="23" t="str">
        <f>IF($A141="","",'Процессы'!I141)</f>
        <v/>
      </c>
      <c r="H141" s="23" t="str">
        <f>IF($A141="","",'Процессы'!J141)</f>
        <v/>
      </c>
      <c r="I141" s="23" t="str">
        <f t="array" ref="I141">IF($A141="","",IFERROR(INDEX('Позиции'!$C$5:$C$204,MATCH('Процессы'!M141,'Позиции'!$A$5:$A$204,0)),"⚠ ID позиции"))</f>
        <v/>
      </c>
      <c r="J141" s="23" t="str">
        <f>IF($A141="","",COUNTIF('Действия'!$B$5:$B$304,$A141))</f>
        <v/>
      </c>
      <c r="K141" s="23" t="str">
        <f>IF($A141="","",COUNTIF('Переходы'!$B$5:$B$304,$A141))</f>
        <v/>
      </c>
      <c r="L141" s="23" t="str">
        <f>IF($A141="","",'Процессы'!O141)</f>
        <v/>
      </c>
      <c r="M141" s="23" t="str">
        <f>IF($A141="","",'Процессы'!P141)</f>
        <v/>
      </c>
      <c r="N141" s="23" t="str">
        <f>IF($A141="","",'Процессы'!Q141)</f>
        <v/>
      </c>
      <c r="O141" s="23" t="str">
        <f>IF($A141="","",'Процессы'!R141)</f>
        <v/>
      </c>
      <c r="P141" s="23" t="str">
        <f>IF($A141="","",'Процессы'!S141)</f>
        <v/>
      </c>
      <c r="Q141" s="23" t="str">
        <f>IF($A141="","",IF(COUNTA('Процессы'!B141,'Процессы'!E141,'Процессы'!F141,'Процессы'!H141,'Процессы'!I141,'Процессы'!J141,'Процессы'!M141,'Процессы'!O141,'Процессы'!P141,'Процессы'!R141,'Процессы'!S141)=11,"Готово","Есть пробелы"))</f>
        <v/>
      </c>
      <c r="R141" s="23" t="str">
        <f t="array" ref="R141">IF($A141="","",IFERROR(INDEX('Диаграммы'!$A$5:$A$104,MATCH($A141,'Диаграммы'!$B$5:$B$104,0)),"не настроена"))</f>
        <v/>
      </c>
      <c r="S141" s="23" t="str">
        <f t="array" ref="S141">IF(OR($A141="",$R141="не настроена"),"",IFERROR(INDEX('Диаграммы'!$M$5:$M$104,MATCH($R141,'Диаграммы'!$A$5:$A$104,0)),""))</f>
        <v/>
      </c>
      <c r="T141" s="23" t="str">
        <f t="array" ref="T141">IF(OR($A141="",$R141="не настроена"),"",IFERROR(HYPERLINK(INDEX('Диаграммы'!$O$5:$O$104,MATCH($R141,'Диаграммы'!$A$5:$A$104,0)),"открыть"),""))</f>
        <v/>
      </c>
    </row>
    <row r="142" ht="15.75" customHeight="1">
      <c r="A142" s="23" t="str">
        <f>IF('Процессы'!A142="","",'Процессы'!A142)</f>
        <v/>
      </c>
      <c r="B142" s="23" t="str">
        <f t="array" ref="B142">IF($A142="","",IFERROR(INDEX('Система'!$B$5:$B$14,MATCH('Процессы'!B142,'Система'!$A$5:$A$14,0)),"⚠ ID системы"))</f>
        <v/>
      </c>
      <c r="C142" s="23" t="str">
        <f>IF($A142="","",'Процессы'!C142)</f>
        <v/>
      </c>
      <c r="D142" s="23" t="str">
        <f>IF($A142="","",'Процессы'!E142)</f>
        <v/>
      </c>
      <c r="E142" s="23" t="str">
        <f>IF($A142="","",'Процессы'!F142)</f>
        <v/>
      </c>
      <c r="F142" s="23" t="str">
        <f>IF($A142="","",'Процессы'!H142)</f>
        <v/>
      </c>
      <c r="G142" s="23" t="str">
        <f>IF($A142="","",'Процессы'!I142)</f>
        <v/>
      </c>
      <c r="H142" s="23" t="str">
        <f>IF($A142="","",'Процессы'!J142)</f>
        <v/>
      </c>
      <c r="I142" s="23" t="str">
        <f t="array" ref="I142">IF($A142="","",IFERROR(INDEX('Позиции'!$C$5:$C$204,MATCH('Процессы'!M142,'Позиции'!$A$5:$A$204,0)),"⚠ ID позиции"))</f>
        <v/>
      </c>
      <c r="J142" s="23" t="str">
        <f>IF($A142="","",COUNTIF('Действия'!$B$5:$B$304,$A142))</f>
        <v/>
      </c>
      <c r="K142" s="23" t="str">
        <f>IF($A142="","",COUNTIF('Переходы'!$B$5:$B$304,$A142))</f>
        <v/>
      </c>
      <c r="L142" s="23" t="str">
        <f>IF($A142="","",'Процессы'!O142)</f>
        <v/>
      </c>
      <c r="M142" s="23" t="str">
        <f>IF($A142="","",'Процессы'!P142)</f>
        <v/>
      </c>
      <c r="N142" s="23" t="str">
        <f>IF($A142="","",'Процессы'!Q142)</f>
        <v/>
      </c>
      <c r="O142" s="23" t="str">
        <f>IF($A142="","",'Процессы'!R142)</f>
        <v/>
      </c>
      <c r="P142" s="23" t="str">
        <f>IF($A142="","",'Процессы'!S142)</f>
        <v/>
      </c>
      <c r="Q142" s="23" t="str">
        <f>IF($A142="","",IF(COUNTA('Процессы'!B142,'Процессы'!E142,'Процессы'!F142,'Процессы'!H142,'Процессы'!I142,'Процессы'!J142,'Процессы'!M142,'Процессы'!O142,'Процессы'!P142,'Процессы'!R142,'Процессы'!S142)=11,"Готово","Есть пробелы"))</f>
        <v/>
      </c>
      <c r="R142" s="23" t="str">
        <f t="array" ref="R142">IF($A142="","",IFERROR(INDEX('Диаграммы'!$A$5:$A$104,MATCH($A142,'Диаграммы'!$B$5:$B$104,0)),"не настроена"))</f>
        <v/>
      </c>
      <c r="S142" s="23" t="str">
        <f t="array" ref="S142">IF(OR($A142="",$R142="не настроена"),"",IFERROR(INDEX('Диаграммы'!$M$5:$M$104,MATCH($R142,'Диаграммы'!$A$5:$A$104,0)),""))</f>
        <v/>
      </c>
      <c r="T142" s="23" t="str">
        <f t="array" ref="T142">IF(OR($A142="",$R142="не настроена"),"",IFERROR(HYPERLINK(INDEX('Диаграммы'!$O$5:$O$104,MATCH($R142,'Диаграммы'!$A$5:$A$104,0)),"открыть"),""))</f>
        <v/>
      </c>
    </row>
    <row r="143" ht="15.75" customHeight="1">
      <c r="A143" s="23" t="str">
        <f>IF('Процессы'!A143="","",'Процессы'!A143)</f>
        <v/>
      </c>
      <c r="B143" s="23" t="str">
        <f t="array" ref="B143">IF($A143="","",IFERROR(INDEX('Система'!$B$5:$B$14,MATCH('Процессы'!B143,'Система'!$A$5:$A$14,0)),"⚠ ID системы"))</f>
        <v/>
      </c>
      <c r="C143" s="23" t="str">
        <f>IF($A143="","",'Процессы'!C143)</f>
        <v/>
      </c>
      <c r="D143" s="23" t="str">
        <f>IF($A143="","",'Процессы'!E143)</f>
        <v/>
      </c>
      <c r="E143" s="23" t="str">
        <f>IF($A143="","",'Процессы'!F143)</f>
        <v/>
      </c>
      <c r="F143" s="23" t="str">
        <f>IF($A143="","",'Процессы'!H143)</f>
        <v/>
      </c>
      <c r="G143" s="23" t="str">
        <f>IF($A143="","",'Процессы'!I143)</f>
        <v/>
      </c>
      <c r="H143" s="23" t="str">
        <f>IF($A143="","",'Процессы'!J143)</f>
        <v/>
      </c>
      <c r="I143" s="23" t="str">
        <f t="array" ref="I143">IF($A143="","",IFERROR(INDEX('Позиции'!$C$5:$C$204,MATCH('Процессы'!M143,'Позиции'!$A$5:$A$204,0)),"⚠ ID позиции"))</f>
        <v/>
      </c>
      <c r="J143" s="23" t="str">
        <f>IF($A143="","",COUNTIF('Действия'!$B$5:$B$304,$A143))</f>
        <v/>
      </c>
      <c r="K143" s="23" t="str">
        <f>IF($A143="","",COUNTIF('Переходы'!$B$5:$B$304,$A143))</f>
        <v/>
      </c>
      <c r="L143" s="23" t="str">
        <f>IF($A143="","",'Процессы'!O143)</f>
        <v/>
      </c>
      <c r="M143" s="23" t="str">
        <f>IF($A143="","",'Процессы'!P143)</f>
        <v/>
      </c>
      <c r="N143" s="23" t="str">
        <f>IF($A143="","",'Процессы'!Q143)</f>
        <v/>
      </c>
      <c r="O143" s="23" t="str">
        <f>IF($A143="","",'Процессы'!R143)</f>
        <v/>
      </c>
      <c r="P143" s="23" t="str">
        <f>IF($A143="","",'Процессы'!S143)</f>
        <v/>
      </c>
      <c r="Q143" s="23" t="str">
        <f>IF($A143="","",IF(COUNTA('Процессы'!B143,'Процессы'!E143,'Процессы'!F143,'Процессы'!H143,'Процессы'!I143,'Процессы'!J143,'Процессы'!M143,'Процессы'!O143,'Процессы'!P143,'Процессы'!R143,'Процессы'!S143)=11,"Готово","Есть пробелы"))</f>
        <v/>
      </c>
      <c r="R143" s="23" t="str">
        <f t="array" ref="R143">IF($A143="","",IFERROR(INDEX('Диаграммы'!$A$5:$A$104,MATCH($A143,'Диаграммы'!$B$5:$B$104,0)),"не настроена"))</f>
        <v/>
      </c>
      <c r="S143" s="23" t="str">
        <f t="array" ref="S143">IF(OR($A143="",$R143="не настроена"),"",IFERROR(INDEX('Диаграммы'!$M$5:$M$104,MATCH($R143,'Диаграммы'!$A$5:$A$104,0)),""))</f>
        <v/>
      </c>
      <c r="T143" s="23" t="str">
        <f t="array" ref="T143">IF(OR($A143="",$R143="не настроена"),"",IFERROR(HYPERLINK(INDEX('Диаграммы'!$O$5:$O$104,MATCH($R143,'Диаграммы'!$A$5:$A$104,0)),"открыть"),""))</f>
        <v/>
      </c>
    </row>
    <row r="144" ht="15.75" customHeight="1">
      <c r="A144" s="23" t="str">
        <f>IF('Процессы'!A144="","",'Процессы'!A144)</f>
        <v/>
      </c>
      <c r="B144" s="23" t="str">
        <f t="array" ref="B144">IF($A144="","",IFERROR(INDEX('Система'!$B$5:$B$14,MATCH('Процессы'!B144,'Система'!$A$5:$A$14,0)),"⚠ ID системы"))</f>
        <v/>
      </c>
      <c r="C144" s="23" t="str">
        <f>IF($A144="","",'Процессы'!C144)</f>
        <v/>
      </c>
      <c r="D144" s="23" t="str">
        <f>IF($A144="","",'Процессы'!E144)</f>
        <v/>
      </c>
      <c r="E144" s="23" t="str">
        <f>IF($A144="","",'Процессы'!F144)</f>
        <v/>
      </c>
      <c r="F144" s="23" t="str">
        <f>IF($A144="","",'Процессы'!H144)</f>
        <v/>
      </c>
      <c r="G144" s="23" t="str">
        <f>IF($A144="","",'Процессы'!I144)</f>
        <v/>
      </c>
      <c r="H144" s="23" t="str">
        <f>IF($A144="","",'Процессы'!J144)</f>
        <v/>
      </c>
      <c r="I144" s="23" t="str">
        <f t="array" ref="I144">IF($A144="","",IFERROR(INDEX('Позиции'!$C$5:$C$204,MATCH('Процессы'!M144,'Позиции'!$A$5:$A$204,0)),"⚠ ID позиции"))</f>
        <v/>
      </c>
      <c r="J144" s="23" t="str">
        <f>IF($A144="","",COUNTIF('Действия'!$B$5:$B$304,$A144))</f>
        <v/>
      </c>
      <c r="K144" s="23" t="str">
        <f>IF($A144="","",COUNTIF('Переходы'!$B$5:$B$304,$A144))</f>
        <v/>
      </c>
      <c r="L144" s="23" t="str">
        <f>IF($A144="","",'Процессы'!O144)</f>
        <v/>
      </c>
      <c r="M144" s="23" t="str">
        <f>IF($A144="","",'Процессы'!P144)</f>
        <v/>
      </c>
      <c r="N144" s="23" t="str">
        <f>IF($A144="","",'Процессы'!Q144)</f>
        <v/>
      </c>
      <c r="O144" s="23" t="str">
        <f>IF($A144="","",'Процессы'!R144)</f>
        <v/>
      </c>
      <c r="P144" s="23" t="str">
        <f>IF($A144="","",'Процессы'!S144)</f>
        <v/>
      </c>
      <c r="Q144" s="23" t="str">
        <f>IF($A144="","",IF(COUNTA('Процессы'!B144,'Процессы'!E144,'Процессы'!F144,'Процессы'!H144,'Процессы'!I144,'Процессы'!J144,'Процессы'!M144,'Процессы'!O144,'Процессы'!P144,'Процессы'!R144,'Процессы'!S144)=11,"Готово","Есть пробелы"))</f>
        <v/>
      </c>
      <c r="R144" s="23" t="str">
        <f t="array" ref="R144">IF($A144="","",IFERROR(INDEX('Диаграммы'!$A$5:$A$104,MATCH($A144,'Диаграммы'!$B$5:$B$104,0)),"не настроена"))</f>
        <v/>
      </c>
      <c r="S144" s="23" t="str">
        <f t="array" ref="S144">IF(OR($A144="",$R144="не настроена"),"",IFERROR(INDEX('Диаграммы'!$M$5:$M$104,MATCH($R144,'Диаграммы'!$A$5:$A$104,0)),""))</f>
        <v/>
      </c>
      <c r="T144" s="23" t="str">
        <f t="array" ref="T144">IF(OR($A144="",$R144="не настроена"),"",IFERROR(HYPERLINK(INDEX('Диаграммы'!$O$5:$O$104,MATCH($R144,'Диаграммы'!$A$5:$A$104,0)),"открыть"),""))</f>
        <v/>
      </c>
    </row>
    <row r="145" ht="15.75" customHeight="1">
      <c r="A145" s="23" t="str">
        <f>IF('Процессы'!A145="","",'Процессы'!A145)</f>
        <v/>
      </c>
      <c r="B145" s="23" t="str">
        <f t="array" ref="B145">IF($A145="","",IFERROR(INDEX('Система'!$B$5:$B$14,MATCH('Процессы'!B145,'Система'!$A$5:$A$14,0)),"⚠ ID системы"))</f>
        <v/>
      </c>
      <c r="C145" s="23" t="str">
        <f>IF($A145="","",'Процессы'!C145)</f>
        <v/>
      </c>
      <c r="D145" s="23" t="str">
        <f>IF($A145="","",'Процессы'!E145)</f>
        <v/>
      </c>
      <c r="E145" s="23" t="str">
        <f>IF($A145="","",'Процессы'!F145)</f>
        <v/>
      </c>
      <c r="F145" s="23" t="str">
        <f>IF($A145="","",'Процессы'!H145)</f>
        <v/>
      </c>
      <c r="G145" s="23" t="str">
        <f>IF($A145="","",'Процессы'!I145)</f>
        <v/>
      </c>
      <c r="H145" s="23" t="str">
        <f>IF($A145="","",'Процессы'!J145)</f>
        <v/>
      </c>
      <c r="I145" s="23" t="str">
        <f t="array" ref="I145">IF($A145="","",IFERROR(INDEX('Позиции'!$C$5:$C$204,MATCH('Процессы'!M145,'Позиции'!$A$5:$A$204,0)),"⚠ ID позиции"))</f>
        <v/>
      </c>
      <c r="J145" s="23" t="str">
        <f>IF($A145="","",COUNTIF('Действия'!$B$5:$B$304,$A145))</f>
        <v/>
      </c>
      <c r="K145" s="23" t="str">
        <f>IF($A145="","",COUNTIF('Переходы'!$B$5:$B$304,$A145))</f>
        <v/>
      </c>
      <c r="L145" s="23" t="str">
        <f>IF($A145="","",'Процессы'!O145)</f>
        <v/>
      </c>
      <c r="M145" s="23" t="str">
        <f>IF($A145="","",'Процессы'!P145)</f>
        <v/>
      </c>
      <c r="N145" s="23" t="str">
        <f>IF($A145="","",'Процессы'!Q145)</f>
        <v/>
      </c>
      <c r="O145" s="23" t="str">
        <f>IF($A145="","",'Процессы'!R145)</f>
        <v/>
      </c>
      <c r="P145" s="23" t="str">
        <f>IF($A145="","",'Процессы'!S145)</f>
        <v/>
      </c>
      <c r="Q145" s="23" t="str">
        <f>IF($A145="","",IF(COUNTA('Процессы'!B145,'Процессы'!E145,'Процессы'!F145,'Процессы'!H145,'Процессы'!I145,'Процессы'!J145,'Процессы'!M145,'Процессы'!O145,'Процессы'!P145,'Процессы'!R145,'Процессы'!S145)=11,"Готово","Есть пробелы"))</f>
        <v/>
      </c>
      <c r="R145" s="23" t="str">
        <f t="array" ref="R145">IF($A145="","",IFERROR(INDEX('Диаграммы'!$A$5:$A$104,MATCH($A145,'Диаграммы'!$B$5:$B$104,0)),"не настроена"))</f>
        <v/>
      </c>
      <c r="S145" s="23" t="str">
        <f t="array" ref="S145">IF(OR($A145="",$R145="не настроена"),"",IFERROR(INDEX('Диаграммы'!$M$5:$M$104,MATCH($R145,'Диаграммы'!$A$5:$A$104,0)),""))</f>
        <v/>
      </c>
      <c r="T145" s="23" t="str">
        <f t="array" ref="T145">IF(OR($A145="",$R145="не настроена"),"",IFERROR(HYPERLINK(INDEX('Диаграммы'!$O$5:$O$104,MATCH($R145,'Диаграммы'!$A$5:$A$104,0)),"открыть"),""))</f>
        <v/>
      </c>
    </row>
    <row r="146" ht="15.75" customHeight="1">
      <c r="A146" s="23" t="str">
        <f>IF('Процессы'!A146="","",'Процессы'!A146)</f>
        <v/>
      </c>
      <c r="B146" s="23" t="str">
        <f t="array" ref="B146">IF($A146="","",IFERROR(INDEX('Система'!$B$5:$B$14,MATCH('Процессы'!B146,'Система'!$A$5:$A$14,0)),"⚠ ID системы"))</f>
        <v/>
      </c>
      <c r="C146" s="23" t="str">
        <f>IF($A146="","",'Процессы'!C146)</f>
        <v/>
      </c>
      <c r="D146" s="23" t="str">
        <f>IF($A146="","",'Процессы'!E146)</f>
        <v/>
      </c>
      <c r="E146" s="23" t="str">
        <f>IF($A146="","",'Процессы'!F146)</f>
        <v/>
      </c>
      <c r="F146" s="23" t="str">
        <f>IF($A146="","",'Процессы'!H146)</f>
        <v/>
      </c>
      <c r="G146" s="23" t="str">
        <f>IF($A146="","",'Процессы'!I146)</f>
        <v/>
      </c>
      <c r="H146" s="23" t="str">
        <f>IF($A146="","",'Процессы'!J146)</f>
        <v/>
      </c>
      <c r="I146" s="23" t="str">
        <f t="array" ref="I146">IF($A146="","",IFERROR(INDEX('Позиции'!$C$5:$C$204,MATCH('Процессы'!M146,'Позиции'!$A$5:$A$204,0)),"⚠ ID позиции"))</f>
        <v/>
      </c>
      <c r="J146" s="23" t="str">
        <f>IF($A146="","",COUNTIF('Действия'!$B$5:$B$304,$A146))</f>
        <v/>
      </c>
      <c r="K146" s="23" t="str">
        <f>IF($A146="","",COUNTIF('Переходы'!$B$5:$B$304,$A146))</f>
        <v/>
      </c>
      <c r="L146" s="23" t="str">
        <f>IF($A146="","",'Процессы'!O146)</f>
        <v/>
      </c>
      <c r="M146" s="23" t="str">
        <f>IF($A146="","",'Процессы'!P146)</f>
        <v/>
      </c>
      <c r="N146" s="23" t="str">
        <f>IF($A146="","",'Процессы'!Q146)</f>
        <v/>
      </c>
      <c r="O146" s="23" t="str">
        <f>IF($A146="","",'Процессы'!R146)</f>
        <v/>
      </c>
      <c r="P146" s="23" t="str">
        <f>IF($A146="","",'Процессы'!S146)</f>
        <v/>
      </c>
      <c r="Q146" s="23" t="str">
        <f>IF($A146="","",IF(COUNTA('Процессы'!B146,'Процессы'!E146,'Процессы'!F146,'Процессы'!H146,'Процессы'!I146,'Процессы'!J146,'Процессы'!M146,'Процессы'!O146,'Процессы'!P146,'Процессы'!R146,'Процессы'!S146)=11,"Готово","Есть пробелы"))</f>
        <v/>
      </c>
      <c r="R146" s="23" t="str">
        <f t="array" ref="R146">IF($A146="","",IFERROR(INDEX('Диаграммы'!$A$5:$A$104,MATCH($A146,'Диаграммы'!$B$5:$B$104,0)),"не настроена"))</f>
        <v/>
      </c>
      <c r="S146" s="23" t="str">
        <f t="array" ref="S146">IF(OR($A146="",$R146="не настроена"),"",IFERROR(INDEX('Диаграммы'!$M$5:$M$104,MATCH($R146,'Диаграммы'!$A$5:$A$104,0)),""))</f>
        <v/>
      </c>
      <c r="T146" s="23" t="str">
        <f t="array" ref="T146">IF(OR($A146="",$R146="не настроена"),"",IFERROR(HYPERLINK(INDEX('Диаграммы'!$O$5:$O$104,MATCH($R146,'Диаграммы'!$A$5:$A$104,0)),"открыть"),""))</f>
        <v/>
      </c>
    </row>
    <row r="147" ht="15.75" customHeight="1">
      <c r="A147" s="23" t="str">
        <f>IF('Процессы'!A147="","",'Процессы'!A147)</f>
        <v/>
      </c>
      <c r="B147" s="23" t="str">
        <f t="array" ref="B147">IF($A147="","",IFERROR(INDEX('Система'!$B$5:$B$14,MATCH('Процессы'!B147,'Система'!$A$5:$A$14,0)),"⚠ ID системы"))</f>
        <v/>
      </c>
      <c r="C147" s="23" t="str">
        <f>IF($A147="","",'Процессы'!C147)</f>
        <v/>
      </c>
      <c r="D147" s="23" t="str">
        <f>IF($A147="","",'Процессы'!E147)</f>
        <v/>
      </c>
      <c r="E147" s="23" t="str">
        <f>IF($A147="","",'Процессы'!F147)</f>
        <v/>
      </c>
      <c r="F147" s="23" t="str">
        <f>IF($A147="","",'Процессы'!H147)</f>
        <v/>
      </c>
      <c r="G147" s="23" t="str">
        <f>IF($A147="","",'Процессы'!I147)</f>
        <v/>
      </c>
      <c r="H147" s="23" t="str">
        <f>IF($A147="","",'Процессы'!J147)</f>
        <v/>
      </c>
      <c r="I147" s="23" t="str">
        <f t="array" ref="I147">IF($A147="","",IFERROR(INDEX('Позиции'!$C$5:$C$204,MATCH('Процессы'!M147,'Позиции'!$A$5:$A$204,0)),"⚠ ID позиции"))</f>
        <v/>
      </c>
      <c r="J147" s="23" t="str">
        <f>IF($A147="","",COUNTIF('Действия'!$B$5:$B$304,$A147))</f>
        <v/>
      </c>
      <c r="K147" s="23" t="str">
        <f>IF($A147="","",COUNTIF('Переходы'!$B$5:$B$304,$A147))</f>
        <v/>
      </c>
      <c r="L147" s="23" t="str">
        <f>IF($A147="","",'Процессы'!O147)</f>
        <v/>
      </c>
      <c r="M147" s="23" t="str">
        <f>IF($A147="","",'Процессы'!P147)</f>
        <v/>
      </c>
      <c r="N147" s="23" t="str">
        <f>IF($A147="","",'Процессы'!Q147)</f>
        <v/>
      </c>
      <c r="O147" s="23" t="str">
        <f>IF($A147="","",'Процессы'!R147)</f>
        <v/>
      </c>
      <c r="P147" s="23" t="str">
        <f>IF($A147="","",'Процессы'!S147)</f>
        <v/>
      </c>
      <c r="Q147" s="23" t="str">
        <f>IF($A147="","",IF(COUNTA('Процессы'!B147,'Процессы'!E147,'Процессы'!F147,'Процессы'!H147,'Процессы'!I147,'Процессы'!J147,'Процессы'!M147,'Процессы'!O147,'Процессы'!P147,'Процессы'!R147,'Процессы'!S147)=11,"Готово","Есть пробелы"))</f>
        <v/>
      </c>
      <c r="R147" s="23" t="str">
        <f t="array" ref="R147">IF($A147="","",IFERROR(INDEX('Диаграммы'!$A$5:$A$104,MATCH($A147,'Диаграммы'!$B$5:$B$104,0)),"не настроена"))</f>
        <v/>
      </c>
      <c r="S147" s="23" t="str">
        <f t="array" ref="S147">IF(OR($A147="",$R147="не настроена"),"",IFERROR(INDEX('Диаграммы'!$M$5:$M$104,MATCH($R147,'Диаграммы'!$A$5:$A$104,0)),""))</f>
        <v/>
      </c>
      <c r="T147" s="23" t="str">
        <f t="array" ref="T147">IF(OR($A147="",$R147="не настроена"),"",IFERROR(HYPERLINK(INDEX('Диаграммы'!$O$5:$O$104,MATCH($R147,'Диаграммы'!$A$5:$A$104,0)),"открыть"),""))</f>
        <v/>
      </c>
    </row>
    <row r="148" ht="15.75" customHeight="1">
      <c r="A148" s="23" t="str">
        <f>IF('Процессы'!A148="","",'Процессы'!A148)</f>
        <v/>
      </c>
      <c r="B148" s="23" t="str">
        <f t="array" ref="B148">IF($A148="","",IFERROR(INDEX('Система'!$B$5:$B$14,MATCH('Процессы'!B148,'Система'!$A$5:$A$14,0)),"⚠ ID системы"))</f>
        <v/>
      </c>
      <c r="C148" s="23" t="str">
        <f>IF($A148="","",'Процессы'!C148)</f>
        <v/>
      </c>
      <c r="D148" s="23" t="str">
        <f>IF($A148="","",'Процессы'!E148)</f>
        <v/>
      </c>
      <c r="E148" s="23" t="str">
        <f>IF($A148="","",'Процессы'!F148)</f>
        <v/>
      </c>
      <c r="F148" s="23" t="str">
        <f>IF($A148="","",'Процессы'!H148)</f>
        <v/>
      </c>
      <c r="G148" s="23" t="str">
        <f>IF($A148="","",'Процессы'!I148)</f>
        <v/>
      </c>
      <c r="H148" s="23" t="str">
        <f>IF($A148="","",'Процессы'!J148)</f>
        <v/>
      </c>
      <c r="I148" s="23" t="str">
        <f t="array" ref="I148">IF($A148="","",IFERROR(INDEX('Позиции'!$C$5:$C$204,MATCH('Процессы'!M148,'Позиции'!$A$5:$A$204,0)),"⚠ ID позиции"))</f>
        <v/>
      </c>
      <c r="J148" s="23" t="str">
        <f>IF($A148="","",COUNTIF('Действия'!$B$5:$B$304,$A148))</f>
        <v/>
      </c>
      <c r="K148" s="23" t="str">
        <f>IF($A148="","",COUNTIF('Переходы'!$B$5:$B$304,$A148))</f>
        <v/>
      </c>
      <c r="L148" s="23" t="str">
        <f>IF($A148="","",'Процессы'!O148)</f>
        <v/>
      </c>
      <c r="M148" s="23" t="str">
        <f>IF($A148="","",'Процессы'!P148)</f>
        <v/>
      </c>
      <c r="N148" s="23" t="str">
        <f>IF($A148="","",'Процессы'!Q148)</f>
        <v/>
      </c>
      <c r="O148" s="23" t="str">
        <f>IF($A148="","",'Процессы'!R148)</f>
        <v/>
      </c>
      <c r="P148" s="23" t="str">
        <f>IF($A148="","",'Процессы'!S148)</f>
        <v/>
      </c>
      <c r="Q148" s="23" t="str">
        <f>IF($A148="","",IF(COUNTA('Процессы'!B148,'Процессы'!E148,'Процессы'!F148,'Процессы'!H148,'Процессы'!I148,'Процессы'!J148,'Процессы'!M148,'Процессы'!O148,'Процессы'!P148,'Процессы'!R148,'Процессы'!S148)=11,"Готово","Есть пробелы"))</f>
        <v/>
      </c>
      <c r="R148" s="23" t="str">
        <f t="array" ref="R148">IF($A148="","",IFERROR(INDEX('Диаграммы'!$A$5:$A$104,MATCH($A148,'Диаграммы'!$B$5:$B$104,0)),"не настроена"))</f>
        <v/>
      </c>
      <c r="S148" s="23" t="str">
        <f t="array" ref="S148">IF(OR($A148="",$R148="не настроена"),"",IFERROR(INDEX('Диаграммы'!$M$5:$M$104,MATCH($R148,'Диаграммы'!$A$5:$A$104,0)),""))</f>
        <v/>
      </c>
      <c r="T148" s="23" t="str">
        <f t="array" ref="T148">IF(OR($A148="",$R148="не настроена"),"",IFERROR(HYPERLINK(INDEX('Диаграммы'!$O$5:$O$104,MATCH($R148,'Диаграммы'!$A$5:$A$104,0)),"открыть"),""))</f>
        <v/>
      </c>
    </row>
    <row r="149" ht="15.75" customHeight="1">
      <c r="A149" s="23" t="str">
        <f>IF('Процессы'!A149="","",'Процессы'!A149)</f>
        <v/>
      </c>
      <c r="B149" s="23" t="str">
        <f t="array" ref="B149">IF($A149="","",IFERROR(INDEX('Система'!$B$5:$B$14,MATCH('Процессы'!B149,'Система'!$A$5:$A$14,0)),"⚠ ID системы"))</f>
        <v/>
      </c>
      <c r="C149" s="23" t="str">
        <f>IF($A149="","",'Процессы'!C149)</f>
        <v/>
      </c>
      <c r="D149" s="23" t="str">
        <f>IF($A149="","",'Процессы'!E149)</f>
        <v/>
      </c>
      <c r="E149" s="23" t="str">
        <f>IF($A149="","",'Процессы'!F149)</f>
        <v/>
      </c>
      <c r="F149" s="23" t="str">
        <f>IF($A149="","",'Процессы'!H149)</f>
        <v/>
      </c>
      <c r="G149" s="23" t="str">
        <f>IF($A149="","",'Процессы'!I149)</f>
        <v/>
      </c>
      <c r="H149" s="23" t="str">
        <f>IF($A149="","",'Процессы'!J149)</f>
        <v/>
      </c>
      <c r="I149" s="23" t="str">
        <f t="array" ref="I149">IF($A149="","",IFERROR(INDEX('Позиции'!$C$5:$C$204,MATCH('Процессы'!M149,'Позиции'!$A$5:$A$204,0)),"⚠ ID позиции"))</f>
        <v/>
      </c>
      <c r="J149" s="23" t="str">
        <f>IF($A149="","",COUNTIF('Действия'!$B$5:$B$304,$A149))</f>
        <v/>
      </c>
      <c r="K149" s="23" t="str">
        <f>IF($A149="","",COUNTIF('Переходы'!$B$5:$B$304,$A149))</f>
        <v/>
      </c>
      <c r="L149" s="23" t="str">
        <f>IF($A149="","",'Процессы'!O149)</f>
        <v/>
      </c>
      <c r="M149" s="23" t="str">
        <f>IF($A149="","",'Процессы'!P149)</f>
        <v/>
      </c>
      <c r="N149" s="23" t="str">
        <f>IF($A149="","",'Процессы'!Q149)</f>
        <v/>
      </c>
      <c r="O149" s="23" t="str">
        <f>IF($A149="","",'Процессы'!R149)</f>
        <v/>
      </c>
      <c r="P149" s="23" t="str">
        <f>IF($A149="","",'Процессы'!S149)</f>
        <v/>
      </c>
      <c r="Q149" s="23" t="str">
        <f>IF($A149="","",IF(COUNTA('Процессы'!B149,'Процессы'!E149,'Процессы'!F149,'Процессы'!H149,'Процессы'!I149,'Процессы'!J149,'Процессы'!M149,'Процессы'!O149,'Процессы'!P149,'Процессы'!R149,'Процессы'!S149)=11,"Готово","Есть пробелы"))</f>
        <v/>
      </c>
      <c r="R149" s="23" t="str">
        <f t="array" ref="R149">IF($A149="","",IFERROR(INDEX('Диаграммы'!$A$5:$A$104,MATCH($A149,'Диаграммы'!$B$5:$B$104,0)),"не настроена"))</f>
        <v/>
      </c>
      <c r="S149" s="23" t="str">
        <f t="array" ref="S149">IF(OR($A149="",$R149="не настроена"),"",IFERROR(INDEX('Диаграммы'!$M$5:$M$104,MATCH($R149,'Диаграммы'!$A$5:$A$104,0)),""))</f>
        <v/>
      </c>
      <c r="T149" s="23" t="str">
        <f t="array" ref="T149">IF(OR($A149="",$R149="не настроена"),"",IFERROR(HYPERLINK(INDEX('Диаграммы'!$O$5:$O$104,MATCH($R149,'Диаграммы'!$A$5:$A$104,0)),"открыть"),""))</f>
        <v/>
      </c>
    </row>
    <row r="150" ht="15.75" customHeight="1">
      <c r="A150" s="23" t="str">
        <f>IF('Процессы'!A150="","",'Процессы'!A150)</f>
        <v/>
      </c>
      <c r="B150" s="23" t="str">
        <f t="array" ref="B150">IF($A150="","",IFERROR(INDEX('Система'!$B$5:$B$14,MATCH('Процессы'!B150,'Система'!$A$5:$A$14,0)),"⚠ ID системы"))</f>
        <v/>
      </c>
      <c r="C150" s="23" t="str">
        <f>IF($A150="","",'Процессы'!C150)</f>
        <v/>
      </c>
      <c r="D150" s="23" t="str">
        <f>IF($A150="","",'Процессы'!E150)</f>
        <v/>
      </c>
      <c r="E150" s="23" t="str">
        <f>IF($A150="","",'Процессы'!F150)</f>
        <v/>
      </c>
      <c r="F150" s="23" t="str">
        <f>IF($A150="","",'Процессы'!H150)</f>
        <v/>
      </c>
      <c r="G150" s="23" t="str">
        <f>IF($A150="","",'Процессы'!I150)</f>
        <v/>
      </c>
      <c r="H150" s="23" t="str">
        <f>IF($A150="","",'Процессы'!J150)</f>
        <v/>
      </c>
      <c r="I150" s="23" t="str">
        <f t="array" ref="I150">IF($A150="","",IFERROR(INDEX('Позиции'!$C$5:$C$204,MATCH('Процессы'!M150,'Позиции'!$A$5:$A$204,0)),"⚠ ID позиции"))</f>
        <v/>
      </c>
      <c r="J150" s="23" t="str">
        <f>IF($A150="","",COUNTIF('Действия'!$B$5:$B$304,$A150))</f>
        <v/>
      </c>
      <c r="K150" s="23" t="str">
        <f>IF($A150="","",COUNTIF('Переходы'!$B$5:$B$304,$A150))</f>
        <v/>
      </c>
      <c r="L150" s="23" t="str">
        <f>IF($A150="","",'Процессы'!O150)</f>
        <v/>
      </c>
      <c r="M150" s="23" t="str">
        <f>IF($A150="","",'Процессы'!P150)</f>
        <v/>
      </c>
      <c r="N150" s="23" t="str">
        <f>IF($A150="","",'Процессы'!Q150)</f>
        <v/>
      </c>
      <c r="O150" s="23" t="str">
        <f>IF($A150="","",'Процессы'!R150)</f>
        <v/>
      </c>
      <c r="P150" s="23" t="str">
        <f>IF($A150="","",'Процессы'!S150)</f>
        <v/>
      </c>
      <c r="Q150" s="23" t="str">
        <f>IF($A150="","",IF(COUNTA('Процессы'!B150,'Процессы'!E150,'Процессы'!F150,'Процессы'!H150,'Процессы'!I150,'Процессы'!J150,'Процессы'!M150,'Процессы'!O150,'Процессы'!P150,'Процессы'!R150,'Процессы'!S150)=11,"Готово","Есть пробелы"))</f>
        <v/>
      </c>
      <c r="R150" s="23" t="str">
        <f t="array" ref="R150">IF($A150="","",IFERROR(INDEX('Диаграммы'!$A$5:$A$104,MATCH($A150,'Диаграммы'!$B$5:$B$104,0)),"не настроена"))</f>
        <v/>
      </c>
      <c r="S150" s="23" t="str">
        <f t="array" ref="S150">IF(OR($A150="",$R150="не настроена"),"",IFERROR(INDEX('Диаграммы'!$M$5:$M$104,MATCH($R150,'Диаграммы'!$A$5:$A$104,0)),""))</f>
        <v/>
      </c>
      <c r="T150" s="23" t="str">
        <f t="array" ref="T150">IF(OR($A150="",$R150="не настроена"),"",IFERROR(HYPERLINK(INDEX('Диаграммы'!$O$5:$O$104,MATCH($R150,'Диаграммы'!$A$5:$A$104,0)),"открыть"),""))</f>
        <v/>
      </c>
    </row>
    <row r="151" ht="15.75" customHeight="1">
      <c r="A151" s="23" t="str">
        <f>IF('Процессы'!A151="","",'Процессы'!A151)</f>
        <v/>
      </c>
      <c r="B151" s="23" t="str">
        <f t="array" ref="B151">IF($A151="","",IFERROR(INDEX('Система'!$B$5:$B$14,MATCH('Процессы'!B151,'Система'!$A$5:$A$14,0)),"⚠ ID системы"))</f>
        <v/>
      </c>
      <c r="C151" s="23" t="str">
        <f>IF($A151="","",'Процессы'!C151)</f>
        <v/>
      </c>
      <c r="D151" s="23" t="str">
        <f>IF($A151="","",'Процессы'!E151)</f>
        <v/>
      </c>
      <c r="E151" s="23" t="str">
        <f>IF($A151="","",'Процессы'!F151)</f>
        <v/>
      </c>
      <c r="F151" s="23" t="str">
        <f>IF($A151="","",'Процессы'!H151)</f>
        <v/>
      </c>
      <c r="G151" s="23" t="str">
        <f>IF($A151="","",'Процессы'!I151)</f>
        <v/>
      </c>
      <c r="H151" s="23" t="str">
        <f>IF($A151="","",'Процессы'!J151)</f>
        <v/>
      </c>
      <c r="I151" s="23" t="str">
        <f t="array" ref="I151">IF($A151="","",IFERROR(INDEX('Позиции'!$C$5:$C$204,MATCH('Процессы'!M151,'Позиции'!$A$5:$A$204,0)),"⚠ ID позиции"))</f>
        <v/>
      </c>
      <c r="J151" s="23" t="str">
        <f>IF($A151="","",COUNTIF('Действия'!$B$5:$B$304,$A151))</f>
        <v/>
      </c>
      <c r="K151" s="23" t="str">
        <f>IF($A151="","",COUNTIF('Переходы'!$B$5:$B$304,$A151))</f>
        <v/>
      </c>
      <c r="L151" s="23" t="str">
        <f>IF($A151="","",'Процессы'!O151)</f>
        <v/>
      </c>
      <c r="M151" s="23" t="str">
        <f>IF($A151="","",'Процессы'!P151)</f>
        <v/>
      </c>
      <c r="N151" s="23" t="str">
        <f>IF($A151="","",'Процессы'!Q151)</f>
        <v/>
      </c>
      <c r="O151" s="23" t="str">
        <f>IF($A151="","",'Процессы'!R151)</f>
        <v/>
      </c>
      <c r="P151" s="23" t="str">
        <f>IF($A151="","",'Процессы'!S151)</f>
        <v/>
      </c>
      <c r="Q151" s="23" t="str">
        <f>IF($A151="","",IF(COUNTA('Процессы'!B151,'Процессы'!E151,'Процессы'!F151,'Процессы'!H151,'Процессы'!I151,'Процессы'!J151,'Процессы'!M151,'Процессы'!O151,'Процессы'!P151,'Процессы'!R151,'Процессы'!S151)=11,"Готово","Есть пробелы"))</f>
        <v/>
      </c>
      <c r="R151" s="23" t="str">
        <f t="array" ref="R151">IF($A151="","",IFERROR(INDEX('Диаграммы'!$A$5:$A$104,MATCH($A151,'Диаграммы'!$B$5:$B$104,0)),"не настроена"))</f>
        <v/>
      </c>
      <c r="S151" s="23" t="str">
        <f t="array" ref="S151">IF(OR($A151="",$R151="не настроена"),"",IFERROR(INDEX('Диаграммы'!$M$5:$M$104,MATCH($R151,'Диаграммы'!$A$5:$A$104,0)),""))</f>
        <v/>
      </c>
      <c r="T151" s="23" t="str">
        <f t="array" ref="T151">IF(OR($A151="",$R151="не настроена"),"",IFERROR(HYPERLINK(INDEX('Диаграммы'!$O$5:$O$104,MATCH($R151,'Диаграммы'!$A$5:$A$104,0)),"открыть"),""))</f>
        <v/>
      </c>
    </row>
    <row r="152" ht="15.75" customHeight="1">
      <c r="A152" s="23" t="str">
        <f>IF('Процессы'!A152="","",'Процессы'!A152)</f>
        <v/>
      </c>
      <c r="B152" s="23" t="str">
        <f t="array" ref="B152">IF($A152="","",IFERROR(INDEX('Система'!$B$5:$B$14,MATCH('Процессы'!B152,'Система'!$A$5:$A$14,0)),"⚠ ID системы"))</f>
        <v/>
      </c>
      <c r="C152" s="23" t="str">
        <f>IF($A152="","",'Процессы'!C152)</f>
        <v/>
      </c>
      <c r="D152" s="23" t="str">
        <f>IF($A152="","",'Процессы'!E152)</f>
        <v/>
      </c>
      <c r="E152" s="23" t="str">
        <f>IF($A152="","",'Процессы'!F152)</f>
        <v/>
      </c>
      <c r="F152" s="23" t="str">
        <f>IF($A152="","",'Процессы'!H152)</f>
        <v/>
      </c>
      <c r="G152" s="23" t="str">
        <f>IF($A152="","",'Процессы'!I152)</f>
        <v/>
      </c>
      <c r="H152" s="23" t="str">
        <f>IF($A152="","",'Процессы'!J152)</f>
        <v/>
      </c>
      <c r="I152" s="23" t="str">
        <f t="array" ref="I152">IF($A152="","",IFERROR(INDEX('Позиции'!$C$5:$C$204,MATCH('Процессы'!M152,'Позиции'!$A$5:$A$204,0)),"⚠ ID позиции"))</f>
        <v/>
      </c>
      <c r="J152" s="23" t="str">
        <f>IF($A152="","",COUNTIF('Действия'!$B$5:$B$304,$A152))</f>
        <v/>
      </c>
      <c r="K152" s="23" t="str">
        <f>IF($A152="","",COUNTIF('Переходы'!$B$5:$B$304,$A152))</f>
        <v/>
      </c>
      <c r="L152" s="23" t="str">
        <f>IF($A152="","",'Процессы'!O152)</f>
        <v/>
      </c>
      <c r="M152" s="23" t="str">
        <f>IF($A152="","",'Процессы'!P152)</f>
        <v/>
      </c>
      <c r="N152" s="23" t="str">
        <f>IF($A152="","",'Процессы'!Q152)</f>
        <v/>
      </c>
      <c r="O152" s="23" t="str">
        <f>IF($A152="","",'Процессы'!R152)</f>
        <v/>
      </c>
      <c r="P152" s="23" t="str">
        <f>IF($A152="","",'Процессы'!S152)</f>
        <v/>
      </c>
      <c r="Q152" s="23" t="str">
        <f>IF($A152="","",IF(COUNTA('Процессы'!B152,'Процессы'!E152,'Процессы'!F152,'Процессы'!H152,'Процессы'!I152,'Процессы'!J152,'Процессы'!M152,'Процессы'!O152,'Процессы'!P152,'Процессы'!R152,'Процессы'!S152)=11,"Готово","Есть пробелы"))</f>
        <v/>
      </c>
      <c r="R152" s="23" t="str">
        <f t="array" ref="R152">IF($A152="","",IFERROR(INDEX('Диаграммы'!$A$5:$A$104,MATCH($A152,'Диаграммы'!$B$5:$B$104,0)),"не настроена"))</f>
        <v/>
      </c>
      <c r="S152" s="23" t="str">
        <f t="array" ref="S152">IF(OR($A152="",$R152="не настроена"),"",IFERROR(INDEX('Диаграммы'!$M$5:$M$104,MATCH($R152,'Диаграммы'!$A$5:$A$104,0)),""))</f>
        <v/>
      </c>
      <c r="T152" s="23" t="str">
        <f t="array" ref="T152">IF(OR($A152="",$R152="не настроена"),"",IFERROR(HYPERLINK(INDEX('Диаграммы'!$O$5:$O$104,MATCH($R152,'Диаграммы'!$A$5:$A$104,0)),"открыть"),""))</f>
        <v/>
      </c>
    </row>
    <row r="153" ht="15.75" customHeight="1">
      <c r="A153" s="23" t="str">
        <f>IF('Процессы'!A153="","",'Процессы'!A153)</f>
        <v/>
      </c>
      <c r="B153" s="23" t="str">
        <f t="array" ref="B153">IF($A153="","",IFERROR(INDEX('Система'!$B$5:$B$14,MATCH('Процессы'!B153,'Система'!$A$5:$A$14,0)),"⚠ ID системы"))</f>
        <v/>
      </c>
      <c r="C153" s="23" t="str">
        <f>IF($A153="","",'Процессы'!C153)</f>
        <v/>
      </c>
      <c r="D153" s="23" t="str">
        <f>IF($A153="","",'Процессы'!E153)</f>
        <v/>
      </c>
      <c r="E153" s="23" t="str">
        <f>IF($A153="","",'Процессы'!F153)</f>
        <v/>
      </c>
      <c r="F153" s="23" t="str">
        <f>IF($A153="","",'Процессы'!H153)</f>
        <v/>
      </c>
      <c r="G153" s="23" t="str">
        <f>IF($A153="","",'Процессы'!I153)</f>
        <v/>
      </c>
      <c r="H153" s="23" t="str">
        <f>IF($A153="","",'Процессы'!J153)</f>
        <v/>
      </c>
      <c r="I153" s="23" t="str">
        <f t="array" ref="I153">IF($A153="","",IFERROR(INDEX('Позиции'!$C$5:$C$204,MATCH('Процессы'!M153,'Позиции'!$A$5:$A$204,0)),"⚠ ID позиции"))</f>
        <v/>
      </c>
      <c r="J153" s="23" t="str">
        <f>IF($A153="","",COUNTIF('Действия'!$B$5:$B$304,$A153))</f>
        <v/>
      </c>
      <c r="K153" s="23" t="str">
        <f>IF($A153="","",COUNTIF('Переходы'!$B$5:$B$304,$A153))</f>
        <v/>
      </c>
      <c r="L153" s="23" t="str">
        <f>IF($A153="","",'Процессы'!O153)</f>
        <v/>
      </c>
      <c r="M153" s="23" t="str">
        <f>IF($A153="","",'Процессы'!P153)</f>
        <v/>
      </c>
      <c r="N153" s="23" t="str">
        <f>IF($A153="","",'Процессы'!Q153)</f>
        <v/>
      </c>
      <c r="O153" s="23" t="str">
        <f>IF($A153="","",'Процессы'!R153)</f>
        <v/>
      </c>
      <c r="P153" s="23" t="str">
        <f>IF($A153="","",'Процессы'!S153)</f>
        <v/>
      </c>
      <c r="Q153" s="23" t="str">
        <f>IF($A153="","",IF(COUNTA('Процессы'!B153,'Процессы'!E153,'Процессы'!F153,'Процессы'!H153,'Процессы'!I153,'Процессы'!J153,'Процессы'!M153,'Процессы'!O153,'Процессы'!P153,'Процессы'!R153,'Процессы'!S153)=11,"Готово","Есть пробелы"))</f>
        <v/>
      </c>
      <c r="R153" s="23" t="str">
        <f t="array" ref="R153">IF($A153="","",IFERROR(INDEX('Диаграммы'!$A$5:$A$104,MATCH($A153,'Диаграммы'!$B$5:$B$104,0)),"не настроена"))</f>
        <v/>
      </c>
      <c r="S153" s="23" t="str">
        <f t="array" ref="S153">IF(OR($A153="",$R153="не настроена"),"",IFERROR(INDEX('Диаграммы'!$M$5:$M$104,MATCH($R153,'Диаграммы'!$A$5:$A$104,0)),""))</f>
        <v/>
      </c>
      <c r="T153" s="23" t="str">
        <f t="array" ref="T153">IF(OR($A153="",$R153="не настроена"),"",IFERROR(HYPERLINK(INDEX('Диаграммы'!$O$5:$O$104,MATCH($R153,'Диаграммы'!$A$5:$A$104,0)),"открыть"),""))</f>
        <v/>
      </c>
    </row>
    <row r="154" ht="15.75" customHeight="1">
      <c r="A154" s="23" t="str">
        <f>IF('Процессы'!A154="","",'Процессы'!A154)</f>
        <v/>
      </c>
      <c r="B154" s="23" t="str">
        <f t="array" ref="B154">IF($A154="","",IFERROR(INDEX('Система'!$B$5:$B$14,MATCH('Процессы'!B154,'Система'!$A$5:$A$14,0)),"⚠ ID системы"))</f>
        <v/>
      </c>
      <c r="C154" s="23" t="str">
        <f>IF($A154="","",'Процессы'!C154)</f>
        <v/>
      </c>
      <c r="D154" s="23" t="str">
        <f>IF($A154="","",'Процессы'!E154)</f>
        <v/>
      </c>
      <c r="E154" s="23" t="str">
        <f>IF($A154="","",'Процессы'!F154)</f>
        <v/>
      </c>
      <c r="F154" s="23" t="str">
        <f>IF($A154="","",'Процессы'!H154)</f>
        <v/>
      </c>
      <c r="G154" s="23" t="str">
        <f>IF($A154="","",'Процессы'!I154)</f>
        <v/>
      </c>
      <c r="H154" s="23" t="str">
        <f>IF($A154="","",'Процессы'!J154)</f>
        <v/>
      </c>
      <c r="I154" s="23" t="str">
        <f t="array" ref="I154">IF($A154="","",IFERROR(INDEX('Позиции'!$C$5:$C$204,MATCH('Процессы'!M154,'Позиции'!$A$5:$A$204,0)),"⚠ ID позиции"))</f>
        <v/>
      </c>
      <c r="J154" s="23" t="str">
        <f>IF($A154="","",COUNTIF('Действия'!$B$5:$B$304,$A154))</f>
        <v/>
      </c>
      <c r="K154" s="23" t="str">
        <f>IF($A154="","",COUNTIF('Переходы'!$B$5:$B$304,$A154))</f>
        <v/>
      </c>
      <c r="L154" s="23" t="str">
        <f>IF($A154="","",'Процессы'!O154)</f>
        <v/>
      </c>
      <c r="M154" s="23" t="str">
        <f>IF($A154="","",'Процессы'!P154)</f>
        <v/>
      </c>
      <c r="N154" s="23" t="str">
        <f>IF($A154="","",'Процессы'!Q154)</f>
        <v/>
      </c>
      <c r="O154" s="23" t="str">
        <f>IF($A154="","",'Процессы'!R154)</f>
        <v/>
      </c>
      <c r="P154" s="23" t="str">
        <f>IF($A154="","",'Процессы'!S154)</f>
        <v/>
      </c>
      <c r="Q154" s="23" t="str">
        <f>IF($A154="","",IF(COUNTA('Процессы'!B154,'Процессы'!E154,'Процессы'!F154,'Процессы'!H154,'Процессы'!I154,'Процессы'!J154,'Процессы'!M154,'Процессы'!O154,'Процессы'!P154,'Процессы'!R154,'Процессы'!S154)=11,"Готово","Есть пробелы"))</f>
        <v/>
      </c>
      <c r="R154" s="23" t="str">
        <f t="array" ref="R154">IF($A154="","",IFERROR(INDEX('Диаграммы'!$A$5:$A$104,MATCH($A154,'Диаграммы'!$B$5:$B$104,0)),"не настроена"))</f>
        <v/>
      </c>
      <c r="S154" s="23" t="str">
        <f t="array" ref="S154">IF(OR($A154="",$R154="не настроена"),"",IFERROR(INDEX('Диаграммы'!$M$5:$M$104,MATCH($R154,'Диаграммы'!$A$5:$A$104,0)),""))</f>
        <v/>
      </c>
      <c r="T154" s="23" t="str">
        <f t="array" ref="T154">IF(OR($A154="",$R154="не настроена"),"",IFERROR(HYPERLINK(INDEX('Диаграммы'!$O$5:$O$104,MATCH($R154,'Диаграммы'!$A$5:$A$104,0)),"открыть"),""))</f>
        <v/>
      </c>
    </row>
    <row r="155" ht="15.75" customHeight="1">
      <c r="A155" s="23" t="str">
        <f>IF('Процессы'!A155="","",'Процессы'!A155)</f>
        <v/>
      </c>
      <c r="B155" s="23" t="str">
        <f t="array" ref="B155">IF($A155="","",IFERROR(INDEX('Система'!$B$5:$B$14,MATCH('Процессы'!B155,'Система'!$A$5:$A$14,0)),"⚠ ID системы"))</f>
        <v/>
      </c>
      <c r="C155" s="23" t="str">
        <f>IF($A155="","",'Процессы'!C155)</f>
        <v/>
      </c>
      <c r="D155" s="23" t="str">
        <f>IF($A155="","",'Процессы'!E155)</f>
        <v/>
      </c>
      <c r="E155" s="23" t="str">
        <f>IF($A155="","",'Процессы'!F155)</f>
        <v/>
      </c>
      <c r="F155" s="23" t="str">
        <f>IF($A155="","",'Процессы'!H155)</f>
        <v/>
      </c>
      <c r="G155" s="23" t="str">
        <f>IF($A155="","",'Процессы'!I155)</f>
        <v/>
      </c>
      <c r="H155" s="23" t="str">
        <f>IF($A155="","",'Процессы'!J155)</f>
        <v/>
      </c>
      <c r="I155" s="23" t="str">
        <f t="array" ref="I155">IF($A155="","",IFERROR(INDEX('Позиции'!$C$5:$C$204,MATCH('Процессы'!M155,'Позиции'!$A$5:$A$204,0)),"⚠ ID позиции"))</f>
        <v/>
      </c>
      <c r="J155" s="23" t="str">
        <f>IF($A155="","",COUNTIF('Действия'!$B$5:$B$304,$A155))</f>
        <v/>
      </c>
      <c r="K155" s="23" t="str">
        <f>IF($A155="","",COUNTIF('Переходы'!$B$5:$B$304,$A155))</f>
        <v/>
      </c>
      <c r="L155" s="23" t="str">
        <f>IF($A155="","",'Процессы'!O155)</f>
        <v/>
      </c>
      <c r="M155" s="23" t="str">
        <f>IF($A155="","",'Процессы'!P155)</f>
        <v/>
      </c>
      <c r="N155" s="23" t="str">
        <f>IF($A155="","",'Процессы'!Q155)</f>
        <v/>
      </c>
      <c r="O155" s="23" t="str">
        <f>IF($A155="","",'Процессы'!R155)</f>
        <v/>
      </c>
      <c r="P155" s="23" t="str">
        <f>IF($A155="","",'Процессы'!S155)</f>
        <v/>
      </c>
      <c r="Q155" s="23" t="str">
        <f>IF($A155="","",IF(COUNTA('Процессы'!B155,'Процессы'!E155,'Процессы'!F155,'Процессы'!H155,'Процессы'!I155,'Процессы'!J155,'Процессы'!M155,'Процессы'!O155,'Процессы'!P155,'Процессы'!R155,'Процессы'!S155)=11,"Готово","Есть пробелы"))</f>
        <v/>
      </c>
      <c r="R155" s="23" t="str">
        <f t="array" ref="R155">IF($A155="","",IFERROR(INDEX('Диаграммы'!$A$5:$A$104,MATCH($A155,'Диаграммы'!$B$5:$B$104,0)),"не настроена"))</f>
        <v/>
      </c>
      <c r="S155" s="23" t="str">
        <f t="array" ref="S155">IF(OR($A155="",$R155="не настроена"),"",IFERROR(INDEX('Диаграммы'!$M$5:$M$104,MATCH($R155,'Диаграммы'!$A$5:$A$104,0)),""))</f>
        <v/>
      </c>
      <c r="T155" s="23" t="str">
        <f t="array" ref="T155">IF(OR($A155="",$R155="не настроена"),"",IFERROR(HYPERLINK(INDEX('Диаграммы'!$O$5:$O$104,MATCH($R155,'Диаграммы'!$A$5:$A$104,0)),"открыть"),""))</f>
        <v/>
      </c>
    </row>
    <row r="156" ht="15.75" customHeight="1">
      <c r="A156" s="23" t="str">
        <f>IF('Процессы'!A156="","",'Процессы'!A156)</f>
        <v/>
      </c>
      <c r="B156" s="23" t="str">
        <f t="array" ref="B156">IF($A156="","",IFERROR(INDEX('Система'!$B$5:$B$14,MATCH('Процессы'!B156,'Система'!$A$5:$A$14,0)),"⚠ ID системы"))</f>
        <v/>
      </c>
      <c r="C156" s="23" t="str">
        <f>IF($A156="","",'Процессы'!C156)</f>
        <v/>
      </c>
      <c r="D156" s="23" t="str">
        <f>IF($A156="","",'Процессы'!E156)</f>
        <v/>
      </c>
      <c r="E156" s="23" t="str">
        <f>IF($A156="","",'Процессы'!F156)</f>
        <v/>
      </c>
      <c r="F156" s="23" t="str">
        <f>IF($A156="","",'Процессы'!H156)</f>
        <v/>
      </c>
      <c r="G156" s="23" t="str">
        <f>IF($A156="","",'Процессы'!I156)</f>
        <v/>
      </c>
      <c r="H156" s="23" t="str">
        <f>IF($A156="","",'Процессы'!J156)</f>
        <v/>
      </c>
      <c r="I156" s="23" t="str">
        <f t="array" ref="I156">IF($A156="","",IFERROR(INDEX('Позиции'!$C$5:$C$204,MATCH('Процессы'!M156,'Позиции'!$A$5:$A$204,0)),"⚠ ID позиции"))</f>
        <v/>
      </c>
      <c r="J156" s="23" t="str">
        <f>IF($A156="","",COUNTIF('Действия'!$B$5:$B$304,$A156))</f>
        <v/>
      </c>
      <c r="K156" s="23" t="str">
        <f>IF($A156="","",COUNTIF('Переходы'!$B$5:$B$304,$A156))</f>
        <v/>
      </c>
      <c r="L156" s="23" t="str">
        <f>IF($A156="","",'Процессы'!O156)</f>
        <v/>
      </c>
      <c r="M156" s="23" t="str">
        <f>IF($A156="","",'Процессы'!P156)</f>
        <v/>
      </c>
      <c r="N156" s="23" t="str">
        <f>IF($A156="","",'Процессы'!Q156)</f>
        <v/>
      </c>
      <c r="O156" s="23" t="str">
        <f>IF($A156="","",'Процессы'!R156)</f>
        <v/>
      </c>
      <c r="P156" s="23" t="str">
        <f>IF($A156="","",'Процессы'!S156)</f>
        <v/>
      </c>
      <c r="Q156" s="23" t="str">
        <f>IF($A156="","",IF(COUNTA('Процессы'!B156,'Процессы'!E156,'Процессы'!F156,'Процессы'!H156,'Процессы'!I156,'Процессы'!J156,'Процессы'!M156,'Процессы'!O156,'Процессы'!P156,'Процессы'!R156,'Процессы'!S156)=11,"Готово","Есть пробелы"))</f>
        <v/>
      </c>
      <c r="R156" s="23" t="str">
        <f t="array" ref="R156">IF($A156="","",IFERROR(INDEX('Диаграммы'!$A$5:$A$104,MATCH($A156,'Диаграммы'!$B$5:$B$104,0)),"не настроена"))</f>
        <v/>
      </c>
      <c r="S156" s="23" t="str">
        <f t="array" ref="S156">IF(OR($A156="",$R156="не настроена"),"",IFERROR(INDEX('Диаграммы'!$M$5:$M$104,MATCH($R156,'Диаграммы'!$A$5:$A$104,0)),""))</f>
        <v/>
      </c>
      <c r="T156" s="23" t="str">
        <f t="array" ref="T156">IF(OR($A156="",$R156="не настроена"),"",IFERROR(HYPERLINK(INDEX('Диаграммы'!$O$5:$O$104,MATCH($R156,'Диаграммы'!$A$5:$A$104,0)),"открыть"),""))</f>
        <v/>
      </c>
    </row>
    <row r="157" ht="15.75" customHeight="1">
      <c r="A157" s="23" t="str">
        <f>IF('Процессы'!A157="","",'Процессы'!A157)</f>
        <v/>
      </c>
      <c r="B157" s="23" t="str">
        <f t="array" ref="B157">IF($A157="","",IFERROR(INDEX('Система'!$B$5:$B$14,MATCH('Процессы'!B157,'Система'!$A$5:$A$14,0)),"⚠ ID системы"))</f>
        <v/>
      </c>
      <c r="C157" s="23" t="str">
        <f>IF($A157="","",'Процессы'!C157)</f>
        <v/>
      </c>
      <c r="D157" s="23" t="str">
        <f>IF($A157="","",'Процессы'!E157)</f>
        <v/>
      </c>
      <c r="E157" s="23" t="str">
        <f>IF($A157="","",'Процессы'!F157)</f>
        <v/>
      </c>
      <c r="F157" s="23" t="str">
        <f>IF($A157="","",'Процессы'!H157)</f>
        <v/>
      </c>
      <c r="G157" s="23" t="str">
        <f>IF($A157="","",'Процессы'!I157)</f>
        <v/>
      </c>
      <c r="H157" s="23" t="str">
        <f>IF($A157="","",'Процессы'!J157)</f>
        <v/>
      </c>
      <c r="I157" s="23" t="str">
        <f t="array" ref="I157">IF($A157="","",IFERROR(INDEX('Позиции'!$C$5:$C$204,MATCH('Процессы'!M157,'Позиции'!$A$5:$A$204,0)),"⚠ ID позиции"))</f>
        <v/>
      </c>
      <c r="J157" s="23" t="str">
        <f>IF($A157="","",COUNTIF('Действия'!$B$5:$B$304,$A157))</f>
        <v/>
      </c>
      <c r="K157" s="23" t="str">
        <f>IF($A157="","",COUNTIF('Переходы'!$B$5:$B$304,$A157))</f>
        <v/>
      </c>
      <c r="L157" s="23" t="str">
        <f>IF($A157="","",'Процессы'!O157)</f>
        <v/>
      </c>
      <c r="M157" s="23" t="str">
        <f>IF($A157="","",'Процессы'!P157)</f>
        <v/>
      </c>
      <c r="N157" s="23" t="str">
        <f>IF($A157="","",'Процессы'!Q157)</f>
        <v/>
      </c>
      <c r="O157" s="23" t="str">
        <f>IF($A157="","",'Процессы'!R157)</f>
        <v/>
      </c>
      <c r="P157" s="23" t="str">
        <f>IF($A157="","",'Процессы'!S157)</f>
        <v/>
      </c>
      <c r="Q157" s="23" t="str">
        <f>IF($A157="","",IF(COUNTA('Процессы'!B157,'Процессы'!E157,'Процессы'!F157,'Процессы'!H157,'Процессы'!I157,'Процессы'!J157,'Процессы'!M157,'Процессы'!O157,'Процессы'!P157,'Процессы'!R157,'Процессы'!S157)=11,"Готово","Есть пробелы"))</f>
        <v/>
      </c>
      <c r="R157" s="23" t="str">
        <f t="array" ref="R157">IF($A157="","",IFERROR(INDEX('Диаграммы'!$A$5:$A$104,MATCH($A157,'Диаграммы'!$B$5:$B$104,0)),"не настроена"))</f>
        <v/>
      </c>
      <c r="S157" s="23" t="str">
        <f t="array" ref="S157">IF(OR($A157="",$R157="не настроена"),"",IFERROR(INDEX('Диаграммы'!$M$5:$M$104,MATCH($R157,'Диаграммы'!$A$5:$A$104,0)),""))</f>
        <v/>
      </c>
      <c r="T157" s="23" t="str">
        <f t="array" ref="T157">IF(OR($A157="",$R157="не настроена"),"",IFERROR(HYPERLINK(INDEX('Диаграммы'!$O$5:$O$104,MATCH($R157,'Диаграммы'!$A$5:$A$104,0)),"открыть"),""))</f>
        <v/>
      </c>
    </row>
    <row r="158" ht="15.75" customHeight="1">
      <c r="A158" s="23" t="str">
        <f>IF('Процессы'!A158="","",'Процессы'!A158)</f>
        <v/>
      </c>
      <c r="B158" s="23" t="str">
        <f t="array" ref="B158">IF($A158="","",IFERROR(INDEX('Система'!$B$5:$B$14,MATCH('Процессы'!B158,'Система'!$A$5:$A$14,0)),"⚠ ID системы"))</f>
        <v/>
      </c>
      <c r="C158" s="23" t="str">
        <f>IF($A158="","",'Процессы'!C158)</f>
        <v/>
      </c>
      <c r="D158" s="23" t="str">
        <f>IF($A158="","",'Процессы'!E158)</f>
        <v/>
      </c>
      <c r="E158" s="23" t="str">
        <f>IF($A158="","",'Процессы'!F158)</f>
        <v/>
      </c>
      <c r="F158" s="23" t="str">
        <f>IF($A158="","",'Процессы'!H158)</f>
        <v/>
      </c>
      <c r="G158" s="23" t="str">
        <f>IF($A158="","",'Процессы'!I158)</f>
        <v/>
      </c>
      <c r="H158" s="23" t="str">
        <f>IF($A158="","",'Процессы'!J158)</f>
        <v/>
      </c>
      <c r="I158" s="23" t="str">
        <f t="array" ref="I158">IF($A158="","",IFERROR(INDEX('Позиции'!$C$5:$C$204,MATCH('Процессы'!M158,'Позиции'!$A$5:$A$204,0)),"⚠ ID позиции"))</f>
        <v/>
      </c>
      <c r="J158" s="23" t="str">
        <f>IF($A158="","",COUNTIF('Действия'!$B$5:$B$304,$A158))</f>
        <v/>
      </c>
      <c r="K158" s="23" t="str">
        <f>IF($A158="","",COUNTIF('Переходы'!$B$5:$B$304,$A158))</f>
        <v/>
      </c>
      <c r="L158" s="23" t="str">
        <f>IF($A158="","",'Процессы'!O158)</f>
        <v/>
      </c>
      <c r="M158" s="23" t="str">
        <f>IF($A158="","",'Процессы'!P158)</f>
        <v/>
      </c>
      <c r="N158" s="23" t="str">
        <f>IF($A158="","",'Процессы'!Q158)</f>
        <v/>
      </c>
      <c r="O158" s="23" t="str">
        <f>IF($A158="","",'Процессы'!R158)</f>
        <v/>
      </c>
      <c r="P158" s="23" t="str">
        <f>IF($A158="","",'Процессы'!S158)</f>
        <v/>
      </c>
      <c r="Q158" s="23" t="str">
        <f>IF($A158="","",IF(COUNTA('Процессы'!B158,'Процессы'!E158,'Процессы'!F158,'Процессы'!H158,'Процессы'!I158,'Процессы'!J158,'Процессы'!M158,'Процессы'!O158,'Процессы'!P158,'Процессы'!R158,'Процессы'!S158)=11,"Готово","Есть пробелы"))</f>
        <v/>
      </c>
      <c r="R158" s="23" t="str">
        <f t="array" ref="R158">IF($A158="","",IFERROR(INDEX('Диаграммы'!$A$5:$A$104,MATCH($A158,'Диаграммы'!$B$5:$B$104,0)),"не настроена"))</f>
        <v/>
      </c>
      <c r="S158" s="23" t="str">
        <f t="array" ref="S158">IF(OR($A158="",$R158="не настроена"),"",IFERROR(INDEX('Диаграммы'!$M$5:$M$104,MATCH($R158,'Диаграммы'!$A$5:$A$104,0)),""))</f>
        <v/>
      </c>
      <c r="T158" s="23" t="str">
        <f t="array" ref="T158">IF(OR($A158="",$R158="не настроена"),"",IFERROR(HYPERLINK(INDEX('Диаграммы'!$O$5:$O$104,MATCH($R158,'Диаграммы'!$A$5:$A$104,0)),"открыть"),""))</f>
        <v/>
      </c>
    </row>
    <row r="159" ht="15.75" customHeight="1">
      <c r="A159" s="23" t="str">
        <f>IF('Процессы'!A159="","",'Процессы'!A159)</f>
        <v/>
      </c>
      <c r="B159" s="23" t="str">
        <f t="array" ref="B159">IF($A159="","",IFERROR(INDEX('Система'!$B$5:$B$14,MATCH('Процессы'!B159,'Система'!$A$5:$A$14,0)),"⚠ ID системы"))</f>
        <v/>
      </c>
      <c r="C159" s="23" t="str">
        <f>IF($A159="","",'Процессы'!C159)</f>
        <v/>
      </c>
      <c r="D159" s="23" t="str">
        <f>IF($A159="","",'Процессы'!E159)</f>
        <v/>
      </c>
      <c r="E159" s="23" t="str">
        <f>IF($A159="","",'Процессы'!F159)</f>
        <v/>
      </c>
      <c r="F159" s="23" t="str">
        <f>IF($A159="","",'Процессы'!H159)</f>
        <v/>
      </c>
      <c r="G159" s="23" t="str">
        <f>IF($A159="","",'Процессы'!I159)</f>
        <v/>
      </c>
      <c r="H159" s="23" t="str">
        <f>IF($A159="","",'Процессы'!J159)</f>
        <v/>
      </c>
      <c r="I159" s="23" t="str">
        <f t="array" ref="I159">IF($A159="","",IFERROR(INDEX('Позиции'!$C$5:$C$204,MATCH('Процессы'!M159,'Позиции'!$A$5:$A$204,0)),"⚠ ID позиции"))</f>
        <v/>
      </c>
      <c r="J159" s="23" t="str">
        <f>IF($A159="","",COUNTIF('Действия'!$B$5:$B$304,$A159))</f>
        <v/>
      </c>
      <c r="K159" s="23" t="str">
        <f>IF($A159="","",COUNTIF('Переходы'!$B$5:$B$304,$A159))</f>
        <v/>
      </c>
      <c r="L159" s="23" t="str">
        <f>IF($A159="","",'Процессы'!O159)</f>
        <v/>
      </c>
      <c r="M159" s="23" t="str">
        <f>IF($A159="","",'Процессы'!P159)</f>
        <v/>
      </c>
      <c r="N159" s="23" t="str">
        <f>IF($A159="","",'Процессы'!Q159)</f>
        <v/>
      </c>
      <c r="O159" s="23" t="str">
        <f>IF($A159="","",'Процессы'!R159)</f>
        <v/>
      </c>
      <c r="P159" s="23" t="str">
        <f>IF($A159="","",'Процессы'!S159)</f>
        <v/>
      </c>
      <c r="Q159" s="23" t="str">
        <f>IF($A159="","",IF(COUNTA('Процессы'!B159,'Процессы'!E159,'Процессы'!F159,'Процессы'!H159,'Процессы'!I159,'Процессы'!J159,'Процессы'!M159,'Процессы'!O159,'Процессы'!P159,'Процессы'!R159,'Процессы'!S159)=11,"Готово","Есть пробелы"))</f>
        <v/>
      </c>
      <c r="R159" s="23" t="str">
        <f t="array" ref="R159">IF($A159="","",IFERROR(INDEX('Диаграммы'!$A$5:$A$104,MATCH($A159,'Диаграммы'!$B$5:$B$104,0)),"не настроена"))</f>
        <v/>
      </c>
      <c r="S159" s="23" t="str">
        <f t="array" ref="S159">IF(OR($A159="",$R159="не настроена"),"",IFERROR(INDEX('Диаграммы'!$M$5:$M$104,MATCH($R159,'Диаграммы'!$A$5:$A$104,0)),""))</f>
        <v/>
      </c>
      <c r="T159" s="23" t="str">
        <f t="array" ref="T159">IF(OR($A159="",$R159="не настроена"),"",IFERROR(HYPERLINK(INDEX('Диаграммы'!$O$5:$O$104,MATCH($R159,'Диаграммы'!$A$5:$A$104,0)),"открыть"),""))</f>
        <v/>
      </c>
    </row>
    <row r="160" ht="15.75" customHeight="1">
      <c r="A160" s="23" t="str">
        <f>IF('Процессы'!A160="","",'Процессы'!A160)</f>
        <v/>
      </c>
      <c r="B160" s="23" t="str">
        <f t="array" ref="B160">IF($A160="","",IFERROR(INDEX('Система'!$B$5:$B$14,MATCH('Процессы'!B160,'Система'!$A$5:$A$14,0)),"⚠ ID системы"))</f>
        <v/>
      </c>
      <c r="C160" s="23" t="str">
        <f>IF($A160="","",'Процессы'!C160)</f>
        <v/>
      </c>
      <c r="D160" s="23" t="str">
        <f>IF($A160="","",'Процессы'!E160)</f>
        <v/>
      </c>
      <c r="E160" s="23" t="str">
        <f>IF($A160="","",'Процессы'!F160)</f>
        <v/>
      </c>
      <c r="F160" s="23" t="str">
        <f>IF($A160="","",'Процессы'!H160)</f>
        <v/>
      </c>
      <c r="G160" s="23" t="str">
        <f>IF($A160="","",'Процессы'!I160)</f>
        <v/>
      </c>
      <c r="H160" s="23" t="str">
        <f>IF($A160="","",'Процессы'!J160)</f>
        <v/>
      </c>
      <c r="I160" s="23" t="str">
        <f t="array" ref="I160">IF($A160="","",IFERROR(INDEX('Позиции'!$C$5:$C$204,MATCH('Процессы'!M160,'Позиции'!$A$5:$A$204,0)),"⚠ ID позиции"))</f>
        <v/>
      </c>
      <c r="J160" s="23" t="str">
        <f>IF($A160="","",COUNTIF('Действия'!$B$5:$B$304,$A160))</f>
        <v/>
      </c>
      <c r="K160" s="23" t="str">
        <f>IF($A160="","",COUNTIF('Переходы'!$B$5:$B$304,$A160))</f>
        <v/>
      </c>
      <c r="L160" s="23" t="str">
        <f>IF($A160="","",'Процессы'!O160)</f>
        <v/>
      </c>
      <c r="M160" s="23" t="str">
        <f>IF($A160="","",'Процессы'!P160)</f>
        <v/>
      </c>
      <c r="N160" s="23" t="str">
        <f>IF($A160="","",'Процессы'!Q160)</f>
        <v/>
      </c>
      <c r="O160" s="23" t="str">
        <f>IF($A160="","",'Процессы'!R160)</f>
        <v/>
      </c>
      <c r="P160" s="23" t="str">
        <f>IF($A160="","",'Процессы'!S160)</f>
        <v/>
      </c>
      <c r="Q160" s="23" t="str">
        <f>IF($A160="","",IF(COUNTA('Процессы'!B160,'Процессы'!E160,'Процессы'!F160,'Процессы'!H160,'Процессы'!I160,'Процессы'!J160,'Процессы'!M160,'Процессы'!O160,'Процессы'!P160,'Процессы'!R160,'Процессы'!S160)=11,"Готово","Есть пробелы"))</f>
        <v/>
      </c>
      <c r="R160" s="23" t="str">
        <f t="array" ref="R160">IF($A160="","",IFERROR(INDEX('Диаграммы'!$A$5:$A$104,MATCH($A160,'Диаграммы'!$B$5:$B$104,0)),"не настроена"))</f>
        <v/>
      </c>
      <c r="S160" s="23" t="str">
        <f t="array" ref="S160">IF(OR($A160="",$R160="не настроена"),"",IFERROR(INDEX('Диаграммы'!$M$5:$M$104,MATCH($R160,'Диаграммы'!$A$5:$A$104,0)),""))</f>
        <v/>
      </c>
      <c r="T160" s="23" t="str">
        <f t="array" ref="T160">IF(OR($A160="",$R160="не настроена"),"",IFERROR(HYPERLINK(INDEX('Диаграммы'!$O$5:$O$104,MATCH($R160,'Диаграммы'!$A$5:$A$104,0)),"открыть"),""))</f>
        <v/>
      </c>
    </row>
    <row r="161" ht="15.75" customHeight="1">
      <c r="A161" s="23" t="str">
        <f>IF('Процессы'!A161="","",'Процессы'!A161)</f>
        <v/>
      </c>
      <c r="B161" s="23" t="str">
        <f t="array" ref="B161">IF($A161="","",IFERROR(INDEX('Система'!$B$5:$B$14,MATCH('Процессы'!B161,'Система'!$A$5:$A$14,0)),"⚠ ID системы"))</f>
        <v/>
      </c>
      <c r="C161" s="23" t="str">
        <f>IF($A161="","",'Процессы'!C161)</f>
        <v/>
      </c>
      <c r="D161" s="23" t="str">
        <f>IF($A161="","",'Процессы'!E161)</f>
        <v/>
      </c>
      <c r="E161" s="23" t="str">
        <f>IF($A161="","",'Процессы'!F161)</f>
        <v/>
      </c>
      <c r="F161" s="23" t="str">
        <f>IF($A161="","",'Процессы'!H161)</f>
        <v/>
      </c>
      <c r="G161" s="23" t="str">
        <f>IF($A161="","",'Процессы'!I161)</f>
        <v/>
      </c>
      <c r="H161" s="23" t="str">
        <f>IF($A161="","",'Процессы'!J161)</f>
        <v/>
      </c>
      <c r="I161" s="23" t="str">
        <f t="array" ref="I161">IF($A161="","",IFERROR(INDEX('Позиции'!$C$5:$C$204,MATCH('Процессы'!M161,'Позиции'!$A$5:$A$204,0)),"⚠ ID позиции"))</f>
        <v/>
      </c>
      <c r="J161" s="23" t="str">
        <f>IF($A161="","",COUNTIF('Действия'!$B$5:$B$304,$A161))</f>
        <v/>
      </c>
      <c r="K161" s="23" t="str">
        <f>IF($A161="","",COUNTIF('Переходы'!$B$5:$B$304,$A161))</f>
        <v/>
      </c>
      <c r="L161" s="23" t="str">
        <f>IF($A161="","",'Процессы'!O161)</f>
        <v/>
      </c>
      <c r="M161" s="23" t="str">
        <f>IF($A161="","",'Процессы'!P161)</f>
        <v/>
      </c>
      <c r="N161" s="23" t="str">
        <f>IF($A161="","",'Процессы'!Q161)</f>
        <v/>
      </c>
      <c r="O161" s="23" t="str">
        <f>IF($A161="","",'Процессы'!R161)</f>
        <v/>
      </c>
      <c r="P161" s="23" t="str">
        <f>IF($A161="","",'Процессы'!S161)</f>
        <v/>
      </c>
      <c r="Q161" s="23" t="str">
        <f>IF($A161="","",IF(COUNTA('Процессы'!B161,'Процессы'!E161,'Процессы'!F161,'Процессы'!H161,'Процессы'!I161,'Процессы'!J161,'Процессы'!M161,'Процессы'!O161,'Процессы'!P161,'Процессы'!R161,'Процессы'!S161)=11,"Готово","Есть пробелы"))</f>
        <v/>
      </c>
      <c r="R161" s="23" t="str">
        <f t="array" ref="R161">IF($A161="","",IFERROR(INDEX('Диаграммы'!$A$5:$A$104,MATCH($A161,'Диаграммы'!$B$5:$B$104,0)),"не настроена"))</f>
        <v/>
      </c>
      <c r="S161" s="23" t="str">
        <f t="array" ref="S161">IF(OR($A161="",$R161="не настроена"),"",IFERROR(INDEX('Диаграммы'!$M$5:$M$104,MATCH($R161,'Диаграммы'!$A$5:$A$104,0)),""))</f>
        <v/>
      </c>
      <c r="T161" s="23" t="str">
        <f t="array" ref="T161">IF(OR($A161="",$R161="не настроена"),"",IFERROR(HYPERLINK(INDEX('Диаграммы'!$O$5:$O$104,MATCH($R161,'Диаграммы'!$A$5:$A$104,0)),"открыть"),""))</f>
        <v/>
      </c>
    </row>
    <row r="162" ht="15.75" customHeight="1">
      <c r="A162" s="23" t="str">
        <f>IF('Процессы'!A162="","",'Процессы'!A162)</f>
        <v/>
      </c>
      <c r="B162" s="23" t="str">
        <f t="array" ref="B162">IF($A162="","",IFERROR(INDEX('Система'!$B$5:$B$14,MATCH('Процессы'!B162,'Система'!$A$5:$A$14,0)),"⚠ ID системы"))</f>
        <v/>
      </c>
      <c r="C162" s="23" t="str">
        <f>IF($A162="","",'Процессы'!C162)</f>
        <v/>
      </c>
      <c r="D162" s="23" t="str">
        <f>IF($A162="","",'Процессы'!E162)</f>
        <v/>
      </c>
      <c r="E162" s="23" t="str">
        <f>IF($A162="","",'Процессы'!F162)</f>
        <v/>
      </c>
      <c r="F162" s="23" t="str">
        <f>IF($A162="","",'Процессы'!H162)</f>
        <v/>
      </c>
      <c r="G162" s="23" t="str">
        <f>IF($A162="","",'Процессы'!I162)</f>
        <v/>
      </c>
      <c r="H162" s="23" t="str">
        <f>IF($A162="","",'Процессы'!J162)</f>
        <v/>
      </c>
      <c r="I162" s="23" t="str">
        <f t="array" ref="I162">IF($A162="","",IFERROR(INDEX('Позиции'!$C$5:$C$204,MATCH('Процессы'!M162,'Позиции'!$A$5:$A$204,0)),"⚠ ID позиции"))</f>
        <v/>
      </c>
      <c r="J162" s="23" t="str">
        <f>IF($A162="","",COUNTIF('Действия'!$B$5:$B$304,$A162))</f>
        <v/>
      </c>
      <c r="K162" s="23" t="str">
        <f>IF($A162="","",COUNTIF('Переходы'!$B$5:$B$304,$A162))</f>
        <v/>
      </c>
      <c r="L162" s="23" t="str">
        <f>IF($A162="","",'Процессы'!O162)</f>
        <v/>
      </c>
      <c r="M162" s="23" t="str">
        <f>IF($A162="","",'Процессы'!P162)</f>
        <v/>
      </c>
      <c r="N162" s="23" t="str">
        <f>IF($A162="","",'Процессы'!Q162)</f>
        <v/>
      </c>
      <c r="O162" s="23" t="str">
        <f>IF($A162="","",'Процессы'!R162)</f>
        <v/>
      </c>
      <c r="P162" s="23" t="str">
        <f>IF($A162="","",'Процессы'!S162)</f>
        <v/>
      </c>
      <c r="Q162" s="23" t="str">
        <f>IF($A162="","",IF(COUNTA('Процессы'!B162,'Процессы'!E162,'Процессы'!F162,'Процессы'!H162,'Процессы'!I162,'Процессы'!J162,'Процессы'!M162,'Процессы'!O162,'Процессы'!P162,'Процессы'!R162,'Процессы'!S162)=11,"Готово","Есть пробелы"))</f>
        <v/>
      </c>
      <c r="R162" s="23" t="str">
        <f t="array" ref="R162">IF($A162="","",IFERROR(INDEX('Диаграммы'!$A$5:$A$104,MATCH($A162,'Диаграммы'!$B$5:$B$104,0)),"не настроена"))</f>
        <v/>
      </c>
      <c r="S162" s="23" t="str">
        <f t="array" ref="S162">IF(OR($A162="",$R162="не настроена"),"",IFERROR(INDEX('Диаграммы'!$M$5:$M$104,MATCH($R162,'Диаграммы'!$A$5:$A$104,0)),""))</f>
        <v/>
      </c>
      <c r="T162" s="23" t="str">
        <f t="array" ref="T162">IF(OR($A162="",$R162="не настроена"),"",IFERROR(HYPERLINK(INDEX('Диаграммы'!$O$5:$O$104,MATCH($R162,'Диаграммы'!$A$5:$A$104,0)),"открыть"),""))</f>
        <v/>
      </c>
    </row>
    <row r="163" ht="15.75" customHeight="1">
      <c r="A163" s="23" t="str">
        <f>IF('Процессы'!A163="","",'Процессы'!A163)</f>
        <v/>
      </c>
      <c r="B163" s="23" t="str">
        <f t="array" ref="B163">IF($A163="","",IFERROR(INDEX('Система'!$B$5:$B$14,MATCH('Процессы'!B163,'Система'!$A$5:$A$14,0)),"⚠ ID системы"))</f>
        <v/>
      </c>
      <c r="C163" s="23" t="str">
        <f>IF($A163="","",'Процессы'!C163)</f>
        <v/>
      </c>
      <c r="D163" s="23" t="str">
        <f>IF($A163="","",'Процессы'!E163)</f>
        <v/>
      </c>
      <c r="E163" s="23" t="str">
        <f>IF($A163="","",'Процессы'!F163)</f>
        <v/>
      </c>
      <c r="F163" s="23" t="str">
        <f>IF($A163="","",'Процессы'!H163)</f>
        <v/>
      </c>
      <c r="G163" s="23" t="str">
        <f>IF($A163="","",'Процессы'!I163)</f>
        <v/>
      </c>
      <c r="H163" s="23" t="str">
        <f>IF($A163="","",'Процессы'!J163)</f>
        <v/>
      </c>
      <c r="I163" s="23" t="str">
        <f t="array" ref="I163">IF($A163="","",IFERROR(INDEX('Позиции'!$C$5:$C$204,MATCH('Процессы'!M163,'Позиции'!$A$5:$A$204,0)),"⚠ ID позиции"))</f>
        <v/>
      </c>
      <c r="J163" s="23" t="str">
        <f>IF($A163="","",COUNTIF('Действия'!$B$5:$B$304,$A163))</f>
        <v/>
      </c>
      <c r="K163" s="23" t="str">
        <f>IF($A163="","",COUNTIF('Переходы'!$B$5:$B$304,$A163))</f>
        <v/>
      </c>
      <c r="L163" s="23" t="str">
        <f>IF($A163="","",'Процессы'!O163)</f>
        <v/>
      </c>
      <c r="M163" s="23" t="str">
        <f>IF($A163="","",'Процессы'!P163)</f>
        <v/>
      </c>
      <c r="N163" s="23" t="str">
        <f>IF($A163="","",'Процессы'!Q163)</f>
        <v/>
      </c>
      <c r="O163" s="23" t="str">
        <f>IF($A163="","",'Процессы'!R163)</f>
        <v/>
      </c>
      <c r="P163" s="23" t="str">
        <f>IF($A163="","",'Процессы'!S163)</f>
        <v/>
      </c>
      <c r="Q163" s="23" t="str">
        <f>IF($A163="","",IF(COUNTA('Процессы'!B163,'Процессы'!E163,'Процессы'!F163,'Процессы'!H163,'Процессы'!I163,'Процессы'!J163,'Процессы'!M163,'Процессы'!O163,'Процессы'!P163,'Процессы'!R163,'Процессы'!S163)=11,"Готово","Есть пробелы"))</f>
        <v/>
      </c>
      <c r="R163" s="23" t="str">
        <f t="array" ref="R163">IF($A163="","",IFERROR(INDEX('Диаграммы'!$A$5:$A$104,MATCH($A163,'Диаграммы'!$B$5:$B$104,0)),"не настроена"))</f>
        <v/>
      </c>
      <c r="S163" s="23" t="str">
        <f t="array" ref="S163">IF(OR($A163="",$R163="не настроена"),"",IFERROR(INDEX('Диаграммы'!$M$5:$M$104,MATCH($R163,'Диаграммы'!$A$5:$A$104,0)),""))</f>
        <v/>
      </c>
      <c r="T163" s="23" t="str">
        <f t="array" ref="T163">IF(OR($A163="",$R163="не настроена"),"",IFERROR(HYPERLINK(INDEX('Диаграммы'!$O$5:$O$104,MATCH($R163,'Диаграммы'!$A$5:$A$104,0)),"открыть"),""))</f>
        <v/>
      </c>
    </row>
    <row r="164" ht="15.75" customHeight="1">
      <c r="A164" s="23" t="str">
        <f>IF('Процессы'!A164="","",'Процессы'!A164)</f>
        <v/>
      </c>
      <c r="B164" s="23" t="str">
        <f t="array" ref="B164">IF($A164="","",IFERROR(INDEX('Система'!$B$5:$B$14,MATCH('Процессы'!B164,'Система'!$A$5:$A$14,0)),"⚠ ID системы"))</f>
        <v/>
      </c>
      <c r="C164" s="23" t="str">
        <f>IF($A164="","",'Процессы'!C164)</f>
        <v/>
      </c>
      <c r="D164" s="23" t="str">
        <f>IF($A164="","",'Процессы'!E164)</f>
        <v/>
      </c>
      <c r="E164" s="23" t="str">
        <f>IF($A164="","",'Процессы'!F164)</f>
        <v/>
      </c>
      <c r="F164" s="23" t="str">
        <f>IF($A164="","",'Процессы'!H164)</f>
        <v/>
      </c>
      <c r="G164" s="23" t="str">
        <f>IF($A164="","",'Процессы'!I164)</f>
        <v/>
      </c>
      <c r="H164" s="23" t="str">
        <f>IF($A164="","",'Процессы'!J164)</f>
        <v/>
      </c>
      <c r="I164" s="23" t="str">
        <f t="array" ref="I164">IF($A164="","",IFERROR(INDEX('Позиции'!$C$5:$C$204,MATCH('Процессы'!M164,'Позиции'!$A$5:$A$204,0)),"⚠ ID позиции"))</f>
        <v/>
      </c>
      <c r="J164" s="23" t="str">
        <f>IF($A164="","",COUNTIF('Действия'!$B$5:$B$304,$A164))</f>
        <v/>
      </c>
      <c r="K164" s="23" t="str">
        <f>IF($A164="","",COUNTIF('Переходы'!$B$5:$B$304,$A164))</f>
        <v/>
      </c>
      <c r="L164" s="23" t="str">
        <f>IF($A164="","",'Процессы'!O164)</f>
        <v/>
      </c>
      <c r="M164" s="23" t="str">
        <f>IF($A164="","",'Процессы'!P164)</f>
        <v/>
      </c>
      <c r="N164" s="23" t="str">
        <f>IF($A164="","",'Процессы'!Q164)</f>
        <v/>
      </c>
      <c r="O164" s="23" t="str">
        <f>IF($A164="","",'Процессы'!R164)</f>
        <v/>
      </c>
      <c r="P164" s="23" t="str">
        <f>IF($A164="","",'Процессы'!S164)</f>
        <v/>
      </c>
      <c r="Q164" s="23" t="str">
        <f>IF($A164="","",IF(COUNTA('Процессы'!B164,'Процессы'!E164,'Процессы'!F164,'Процессы'!H164,'Процессы'!I164,'Процессы'!J164,'Процессы'!M164,'Процессы'!O164,'Процессы'!P164,'Процессы'!R164,'Процессы'!S164)=11,"Готово","Есть пробелы"))</f>
        <v/>
      </c>
      <c r="R164" s="23" t="str">
        <f t="array" ref="R164">IF($A164="","",IFERROR(INDEX('Диаграммы'!$A$5:$A$104,MATCH($A164,'Диаграммы'!$B$5:$B$104,0)),"не настроена"))</f>
        <v/>
      </c>
      <c r="S164" s="23" t="str">
        <f t="array" ref="S164">IF(OR($A164="",$R164="не настроена"),"",IFERROR(INDEX('Диаграммы'!$M$5:$M$104,MATCH($R164,'Диаграммы'!$A$5:$A$104,0)),""))</f>
        <v/>
      </c>
      <c r="T164" s="23" t="str">
        <f t="array" ref="T164">IF(OR($A164="",$R164="не настроена"),"",IFERROR(HYPERLINK(INDEX('Диаграммы'!$O$5:$O$104,MATCH($R164,'Диаграммы'!$A$5:$A$104,0)),"открыть"),""))</f>
        <v/>
      </c>
    </row>
    <row r="165" ht="15.75" customHeight="1">
      <c r="A165" s="23" t="str">
        <f>IF('Процессы'!A165="","",'Процессы'!A165)</f>
        <v/>
      </c>
      <c r="B165" s="23" t="str">
        <f t="array" ref="B165">IF($A165="","",IFERROR(INDEX('Система'!$B$5:$B$14,MATCH('Процессы'!B165,'Система'!$A$5:$A$14,0)),"⚠ ID системы"))</f>
        <v/>
      </c>
      <c r="C165" s="23" t="str">
        <f>IF($A165="","",'Процессы'!C165)</f>
        <v/>
      </c>
      <c r="D165" s="23" t="str">
        <f>IF($A165="","",'Процессы'!E165)</f>
        <v/>
      </c>
      <c r="E165" s="23" t="str">
        <f>IF($A165="","",'Процессы'!F165)</f>
        <v/>
      </c>
      <c r="F165" s="23" t="str">
        <f>IF($A165="","",'Процессы'!H165)</f>
        <v/>
      </c>
      <c r="G165" s="23" t="str">
        <f>IF($A165="","",'Процессы'!I165)</f>
        <v/>
      </c>
      <c r="H165" s="23" t="str">
        <f>IF($A165="","",'Процессы'!J165)</f>
        <v/>
      </c>
      <c r="I165" s="23" t="str">
        <f t="array" ref="I165">IF($A165="","",IFERROR(INDEX('Позиции'!$C$5:$C$204,MATCH('Процессы'!M165,'Позиции'!$A$5:$A$204,0)),"⚠ ID позиции"))</f>
        <v/>
      </c>
      <c r="J165" s="23" t="str">
        <f>IF($A165="","",COUNTIF('Действия'!$B$5:$B$304,$A165))</f>
        <v/>
      </c>
      <c r="K165" s="23" t="str">
        <f>IF($A165="","",COUNTIF('Переходы'!$B$5:$B$304,$A165))</f>
        <v/>
      </c>
      <c r="L165" s="23" t="str">
        <f>IF($A165="","",'Процессы'!O165)</f>
        <v/>
      </c>
      <c r="M165" s="23" t="str">
        <f>IF($A165="","",'Процессы'!P165)</f>
        <v/>
      </c>
      <c r="N165" s="23" t="str">
        <f>IF($A165="","",'Процессы'!Q165)</f>
        <v/>
      </c>
      <c r="O165" s="23" t="str">
        <f>IF($A165="","",'Процессы'!R165)</f>
        <v/>
      </c>
      <c r="P165" s="23" t="str">
        <f>IF($A165="","",'Процессы'!S165)</f>
        <v/>
      </c>
      <c r="Q165" s="23" t="str">
        <f>IF($A165="","",IF(COUNTA('Процессы'!B165,'Процессы'!E165,'Процессы'!F165,'Процессы'!H165,'Процессы'!I165,'Процессы'!J165,'Процессы'!M165,'Процессы'!O165,'Процессы'!P165,'Процессы'!R165,'Процессы'!S165)=11,"Готово","Есть пробелы"))</f>
        <v/>
      </c>
      <c r="R165" s="23" t="str">
        <f t="array" ref="R165">IF($A165="","",IFERROR(INDEX('Диаграммы'!$A$5:$A$104,MATCH($A165,'Диаграммы'!$B$5:$B$104,0)),"не настроена"))</f>
        <v/>
      </c>
      <c r="S165" s="23" t="str">
        <f t="array" ref="S165">IF(OR($A165="",$R165="не настроена"),"",IFERROR(INDEX('Диаграммы'!$M$5:$M$104,MATCH($R165,'Диаграммы'!$A$5:$A$104,0)),""))</f>
        <v/>
      </c>
      <c r="T165" s="23" t="str">
        <f t="array" ref="T165">IF(OR($A165="",$R165="не настроена"),"",IFERROR(HYPERLINK(INDEX('Диаграммы'!$O$5:$O$104,MATCH($R165,'Диаграммы'!$A$5:$A$104,0)),"открыть"),""))</f>
        <v/>
      </c>
    </row>
    <row r="166" ht="15.75" customHeight="1">
      <c r="A166" s="23" t="str">
        <f>IF('Процессы'!A166="","",'Процессы'!A166)</f>
        <v/>
      </c>
      <c r="B166" s="23" t="str">
        <f t="array" ref="B166">IF($A166="","",IFERROR(INDEX('Система'!$B$5:$B$14,MATCH('Процессы'!B166,'Система'!$A$5:$A$14,0)),"⚠ ID системы"))</f>
        <v/>
      </c>
      <c r="C166" s="23" t="str">
        <f>IF($A166="","",'Процессы'!C166)</f>
        <v/>
      </c>
      <c r="D166" s="23" t="str">
        <f>IF($A166="","",'Процессы'!E166)</f>
        <v/>
      </c>
      <c r="E166" s="23" t="str">
        <f>IF($A166="","",'Процессы'!F166)</f>
        <v/>
      </c>
      <c r="F166" s="23" t="str">
        <f>IF($A166="","",'Процессы'!H166)</f>
        <v/>
      </c>
      <c r="G166" s="23" t="str">
        <f>IF($A166="","",'Процессы'!I166)</f>
        <v/>
      </c>
      <c r="H166" s="23" t="str">
        <f>IF($A166="","",'Процессы'!J166)</f>
        <v/>
      </c>
      <c r="I166" s="23" t="str">
        <f t="array" ref="I166">IF($A166="","",IFERROR(INDEX('Позиции'!$C$5:$C$204,MATCH('Процессы'!M166,'Позиции'!$A$5:$A$204,0)),"⚠ ID позиции"))</f>
        <v/>
      </c>
      <c r="J166" s="23" t="str">
        <f>IF($A166="","",COUNTIF('Действия'!$B$5:$B$304,$A166))</f>
        <v/>
      </c>
      <c r="K166" s="23" t="str">
        <f>IF($A166="","",COUNTIF('Переходы'!$B$5:$B$304,$A166))</f>
        <v/>
      </c>
      <c r="L166" s="23" t="str">
        <f>IF($A166="","",'Процессы'!O166)</f>
        <v/>
      </c>
      <c r="M166" s="23" t="str">
        <f>IF($A166="","",'Процессы'!P166)</f>
        <v/>
      </c>
      <c r="N166" s="23" t="str">
        <f>IF($A166="","",'Процессы'!Q166)</f>
        <v/>
      </c>
      <c r="O166" s="23" t="str">
        <f>IF($A166="","",'Процессы'!R166)</f>
        <v/>
      </c>
      <c r="P166" s="23" t="str">
        <f>IF($A166="","",'Процессы'!S166)</f>
        <v/>
      </c>
      <c r="Q166" s="23" t="str">
        <f>IF($A166="","",IF(COUNTA('Процессы'!B166,'Процессы'!E166,'Процессы'!F166,'Процессы'!H166,'Процессы'!I166,'Процессы'!J166,'Процессы'!M166,'Процессы'!O166,'Процессы'!P166,'Процессы'!R166,'Процессы'!S166)=11,"Готово","Есть пробелы"))</f>
        <v/>
      </c>
      <c r="R166" s="23" t="str">
        <f t="array" ref="R166">IF($A166="","",IFERROR(INDEX('Диаграммы'!$A$5:$A$104,MATCH($A166,'Диаграммы'!$B$5:$B$104,0)),"не настроена"))</f>
        <v/>
      </c>
      <c r="S166" s="23" t="str">
        <f t="array" ref="S166">IF(OR($A166="",$R166="не настроена"),"",IFERROR(INDEX('Диаграммы'!$M$5:$M$104,MATCH($R166,'Диаграммы'!$A$5:$A$104,0)),""))</f>
        <v/>
      </c>
      <c r="T166" s="23" t="str">
        <f t="array" ref="T166">IF(OR($A166="",$R166="не настроена"),"",IFERROR(HYPERLINK(INDEX('Диаграммы'!$O$5:$O$104,MATCH($R166,'Диаграммы'!$A$5:$A$104,0)),"открыть"),""))</f>
        <v/>
      </c>
    </row>
    <row r="167" ht="15.75" customHeight="1">
      <c r="A167" s="23" t="str">
        <f>IF('Процессы'!A167="","",'Процессы'!A167)</f>
        <v/>
      </c>
      <c r="B167" s="23" t="str">
        <f t="array" ref="B167">IF($A167="","",IFERROR(INDEX('Система'!$B$5:$B$14,MATCH('Процессы'!B167,'Система'!$A$5:$A$14,0)),"⚠ ID системы"))</f>
        <v/>
      </c>
      <c r="C167" s="23" t="str">
        <f>IF($A167="","",'Процессы'!C167)</f>
        <v/>
      </c>
      <c r="D167" s="23" t="str">
        <f>IF($A167="","",'Процессы'!E167)</f>
        <v/>
      </c>
      <c r="E167" s="23" t="str">
        <f>IF($A167="","",'Процессы'!F167)</f>
        <v/>
      </c>
      <c r="F167" s="23" t="str">
        <f>IF($A167="","",'Процессы'!H167)</f>
        <v/>
      </c>
      <c r="G167" s="23" t="str">
        <f>IF($A167="","",'Процессы'!I167)</f>
        <v/>
      </c>
      <c r="H167" s="23" t="str">
        <f>IF($A167="","",'Процессы'!J167)</f>
        <v/>
      </c>
      <c r="I167" s="23" t="str">
        <f t="array" ref="I167">IF($A167="","",IFERROR(INDEX('Позиции'!$C$5:$C$204,MATCH('Процессы'!M167,'Позиции'!$A$5:$A$204,0)),"⚠ ID позиции"))</f>
        <v/>
      </c>
      <c r="J167" s="23" t="str">
        <f>IF($A167="","",COUNTIF('Действия'!$B$5:$B$304,$A167))</f>
        <v/>
      </c>
      <c r="K167" s="23" t="str">
        <f>IF($A167="","",COUNTIF('Переходы'!$B$5:$B$304,$A167))</f>
        <v/>
      </c>
      <c r="L167" s="23" t="str">
        <f>IF($A167="","",'Процессы'!O167)</f>
        <v/>
      </c>
      <c r="M167" s="23" t="str">
        <f>IF($A167="","",'Процессы'!P167)</f>
        <v/>
      </c>
      <c r="N167" s="23" t="str">
        <f>IF($A167="","",'Процессы'!Q167)</f>
        <v/>
      </c>
      <c r="O167" s="23" t="str">
        <f>IF($A167="","",'Процессы'!R167)</f>
        <v/>
      </c>
      <c r="P167" s="23" t="str">
        <f>IF($A167="","",'Процессы'!S167)</f>
        <v/>
      </c>
      <c r="Q167" s="23" t="str">
        <f>IF($A167="","",IF(COUNTA('Процессы'!B167,'Процессы'!E167,'Процессы'!F167,'Процессы'!H167,'Процессы'!I167,'Процессы'!J167,'Процессы'!M167,'Процессы'!O167,'Процессы'!P167,'Процессы'!R167,'Процессы'!S167)=11,"Готово","Есть пробелы"))</f>
        <v/>
      </c>
      <c r="R167" s="23" t="str">
        <f t="array" ref="R167">IF($A167="","",IFERROR(INDEX('Диаграммы'!$A$5:$A$104,MATCH($A167,'Диаграммы'!$B$5:$B$104,0)),"не настроена"))</f>
        <v/>
      </c>
      <c r="S167" s="23" t="str">
        <f t="array" ref="S167">IF(OR($A167="",$R167="не настроена"),"",IFERROR(INDEX('Диаграммы'!$M$5:$M$104,MATCH($R167,'Диаграммы'!$A$5:$A$104,0)),""))</f>
        <v/>
      </c>
      <c r="T167" s="23" t="str">
        <f t="array" ref="T167">IF(OR($A167="",$R167="не настроена"),"",IFERROR(HYPERLINK(INDEX('Диаграммы'!$O$5:$O$104,MATCH($R167,'Диаграммы'!$A$5:$A$104,0)),"открыть"),""))</f>
        <v/>
      </c>
    </row>
    <row r="168" ht="15.75" customHeight="1">
      <c r="A168" s="23" t="str">
        <f>IF('Процессы'!A168="","",'Процессы'!A168)</f>
        <v/>
      </c>
      <c r="B168" s="23" t="str">
        <f t="array" ref="B168">IF($A168="","",IFERROR(INDEX('Система'!$B$5:$B$14,MATCH('Процессы'!B168,'Система'!$A$5:$A$14,0)),"⚠ ID системы"))</f>
        <v/>
      </c>
      <c r="C168" s="23" t="str">
        <f>IF($A168="","",'Процессы'!C168)</f>
        <v/>
      </c>
      <c r="D168" s="23" t="str">
        <f>IF($A168="","",'Процессы'!E168)</f>
        <v/>
      </c>
      <c r="E168" s="23" t="str">
        <f>IF($A168="","",'Процессы'!F168)</f>
        <v/>
      </c>
      <c r="F168" s="23" t="str">
        <f>IF($A168="","",'Процессы'!H168)</f>
        <v/>
      </c>
      <c r="G168" s="23" t="str">
        <f>IF($A168="","",'Процессы'!I168)</f>
        <v/>
      </c>
      <c r="H168" s="23" t="str">
        <f>IF($A168="","",'Процессы'!J168)</f>
        <v/>
      </c>
      <c r="I168" s="23" t="str">
        <f t="array" ref="I168">IF($A168="","",IFERROR(INDEX('Позиции'!$C$5:$C$204,MATCH('Процессы'!M168,'Позиции'!$A$5:$A$204,0)),"⚠ ID позиции"))</f>
        <v/>
      </c>
      <c r="J168" s="23" t="str">
        <f>IF($A168="","",COUNTIF('Действия'!$B$5:$B$304,$A168))</f>
        <v/>
      </c>
      <c r="K168" s="23" t="str">
        <f>IF($A168="","",COUNTIF('Переходы'!$B$5:$B$304,$A168))</f>
        <v/>
      </c>
      <c r="L168" s="23" t="str">
        <f>IF($A168="","",'Процессы'!O168)</f>
        <v/>
      </c>
      <c r="M168" s="23" t="str">
        <f>IF($A168="","",'Процессы'!P168)</f>
        <v/>
      </c>
      <c r="N168" s="23" t="str">
        <f>IF($A168="","",'Процессы'!Q168)</f>
        <v/>
      </c>
      <c r="O168" s="23" t="str">
        <f>IF($A168="","",'Процессы'!R168)</f>
        <v/>
      </c>
      <c r="P168" s="23" t="str">
        <f>IF($A168="","",'Процессы'!S168)</f>
        <v/>
      </c>
      <c r="Q168" s="23" t="str">
        <f>IF($A168="","",IF(COUNTA('Процессы'!B168,'Процессы'!E168,'Процессы'!F168,'Процессы'!H168,'Процессы'!I168,'Процессы'!J168,'Процессы'!M168,'Процессы'!O168,'Процессы'!P168,'Процессы'!R168,'Процессы'!S168)=11,"Готово","Есть пробелы"))</f>
        <v/>
      </c>
      <c r="R168" s="23" t="str">
        <f t="array" ref="R168">IF($A168="","",IFERROR(INDEX('Диаграммы'!$A$5:$A$104,MATCH($A168,'Диаграммы'!$B$5:$B$104,0)),"не настроена"))</f>
        <v/>
      </c>
      <c r="S168" s="23" t="str">
        <f t="array" ref="S168">IF(OR($A168="",$R168="не настроена"),"",IFERROR(INDEX('Диаграммы'!$M$5:$M$104,MATCH($R168,'Диаграммы'!$A$5:$A$104,0)),""))</f>
        <v/>
      </c>
      <c r="T168" s="23" t="str">
        <f t="array" ref="T168">IF(OR($A168="",$R168="не настроена"),"",IFERROR(HYPERLINK(INDEX('Диаграммы'!$O$5:$O$104,MATCH($R168,'Диаграммы'!$A$5:$A$104,0)),"открыть"),""))</f>
        <v/>
      </c>
    </row>
    <row r="169" ht="15.75" customHeight="1">
      <c r="A169" s="23" t="str">
        <f>IF('Процессы'!A169="","",'Процессы'!A169)</f>
        <v/>
      </c>
      <c r="B169" s="23" t="str">
        <f t="array" ref="B169">IF($A169="","",IFERROR(INDEX('Система'!$B$5:$B$14,MATCH('Процессы'!B169,'Система'!$A$5:$A$14,0)),"⚠ ID системы"))</f>
        <v/>
      </c>
      <c r="C169" s="23" t="str">
        <f>IF($A169="","",'Процессы'!C169)</f>
        <v/>
      </c>
      <c r="D169" s="23" t="str">
        <f>IF($A169="","",'Процессы'!E169)</f>
        <v/>
      </c>
      <c r="E169" s="23" t="str">
        <f>IF($A169="","",'Процессы'!F169)</f>
        <v/>
      </c>
      <c r="F169" s="23" t="str">
        <f>IF($A169="","",'Процессы'!H169)</f>
        <v/>
      </c>
      <c r="G169" s="23" t="str">
        <f>IF($A169="","",'Процессы'!I169)</f>
        <v/>
      </c>
      <c r="H169" s="23" t="str">
        <f>IF($A169="","",'Процессы'!J169)</f>
        <v/>
      </c>
      <c r="I169" s="23" t="str">
        <f t="array" ref="I169">IF($A169="","",IFERROR(INDEX('Позиции'!$C$5:$C$204,MATCH('Процессы'!M169,'Позиции'!$A$5:$A$204,0)),"⚠ ID позиции"))</f>
        <v/>
      </c>
      <c r="J169" s="23" t="str">
        <f>IF($A169="","",COUNTIF('Действия'!$B$5:$B$304,$A169))</f>
        <v/>
      </c>
      <c r="K169" s="23" t="str">
        <f>IF($A169="","",COUNTIF('Переходы'!$B$5:$B$304,$A169))</f>
        <v/>
      </c>
      <c r="L169" s="23" t="str">
        <f>IF($A169="","",'Процессы'!O169)</f>
        <v/>
      </c>
      <c r="M169" s="23" t="str">
        <f>IF($A169="","",'Процессы'!P169)</f>
        <v/>
      </c>
      <c r="N169" s="23" t="str">
        <f>IF($A169="","",'Процессы'!Q169)</f>
        <v/>
      </c>
      <c r="O169" s="23" t="str">
        <f>IF($A169="","",'Процессы'!R169)</f>
        <v/>
      </c>
      <c r="P169" s="23" t="str">
        <f>IF($A169="","",'Процессы'!S169)</f>
        <v/>
      </c>
      <c r="Q169" s="23" t="str">
        <f>IF($A169="","",IF(COUNTA('Процессы'!B169,'Процессы'!E169,'Процессы'!F169,'Процессы'!H169,'Процессы'!I169,'Процессы'!J169,'Процессы'!M169,'Процессы'!O169,'Процессы'!P169,'Процессы'!R169,'Процессы'!S169)=11,"Готово","Есть пробелы"))</f>
        <v/>
      </c>
      <c r="R169" s="23" t="str">
        <f t="array" ref="R169">IF($A169="","",IFERROR(INDEX('Диаграммы'!$A$5:$A$104,MATCH($A169,'Диаграммы'!$B$5:$B$104,0)),"не настроена"))</f>
        <v/>
      </c>
      <c r="S169" s="23" t="str">
        <f t="array" ref="S169">IF(OR($A169="",$R169="не настроена"),"",IFERROR(INDEX('Диаграммы'!$M$5:$M$104,MATCH($R169,'Диаграммы'!$A$5:$A$104,0)),""))</f>
        <v/>
      </c>
      <c r="T169" s="23" t="str">
        <f t="array" ref="T169">IF(OR($A169="",$R169="не настроена"),"",IFERROR(HYPERLINK(INDEX('Диаграммы'!$O$5:$O$104,MATCH($R169,'Диаграммы'!$A$5:$A$104,0)),"открыть"),""))</f>
        <v/>
      </c>
    </row>
    <row r="170" ht="15.75" customHeight="1">
      <c r="A170" s="23" t="str">
        <f>IF('Процессы'!A170="","",'Процессы'!A170)</f>
        <v/>
      </c>
      <c r="B170" s="23" t="str">
        <f t="array" ref="B170">IF($A170="","",IFERROR(INDEX('Система'!$B$5:$B$14,MATCH('Процессы'!B170,'Система'!$A$5:$A$14,0)),"⚠ ID системы"))</f>
        <v/>
      </c>
      <c r="C170" s="23" t="str">
        <f>IF($A170="","",'Процессы'!C170)</f>
        <v/>
      </c>
      <c r="D170" s="23" t="str">
        <f>IF($A170="","",'Процессы'!E170)</f>
        <v/>
      </c>
      <c r="E170" s="23" t="str">
        <f>IF($A170="","",'Процессы'!F170)</f>
        <v/>
      </c>
      <c r="F170" s="23" t="str">
        <f>IF($A170="","",'Процессы'!H170)</f>
        <v/>
      </c>
      <c r="G170" s="23" t="str">
        <f>IF($A170="","",'Процессы'!I170)</f>
        <v/>
      </c>
      <c r="H170" s="23" t="str">
        <f>IF($A170="","",'Процессы'!J170)</f>
        <v/>
      </c>
      <c r="I170" s="23" t="str">
        <f t="array" ref="I170">IF($A170="","",IFERROR(INDEX('Позиции'!$C$5:$C$204,MATCH('Процессы'!M170,'Позиции'!$A$5:$A$204,0)),"⚠ ID позиции"))</f>
        <v/>
      </c>
      <c r="J170" s="23" t="str">
        <f>IF($A170="","",COUNTIF('Действия'!$B$5:$B$304,$A170))</f>
        <v/>
      </c>
      <c r="K170" s="23" t="str">
        <f>IF($A170="","",COUNTIF('Переходы'!$B$5:$B$304,$A170))</f>
        <v/>
      </c>
      <c r="L170" s="23" t="str">
        <f>IF($A170="","",'Процессы'!O170)</f>
        <v/>
      </c>
      <c r="M170" s="23" t="str">
        <f>IF($A170="","",'Процессы'!P170)</f>
        <v/>
      </c>
      <c r="N170" s="23" t="str">
        <f>IF($A170="","",'Процессы'!Q170)</f>
        <v/>
      </c>
      <c r="O170" s="23" t="str">
        <f>IF($A170="","",'Процессы'!R170)</f>
        <v/>
      </c>
      <c r="P170" s="23" t="str">
        <f>IF($A170="","",'Процессы'!S170)</f>
        <v/>
      </c>
      <c r="Q170" s="23" t="str">
        <f>IF($A170="","",IF(COUNTA('Процессы'!B170,'Процессы'!E170,'Процессы'!F170,'Процессы'!H170,'Процессы'!I170,'Процессы'!J170,'Процессы'!M170,'Процессы'!O170,'Процессы'!P170,'Процессы'!R170,'Процессы'!S170)=11,"Готово","Есть пробелы"))</f>
        <v/>
      </c>
      <c r="R170" s="23" t="str">
        <f t="array" ref="R170">IF($A170="","",IFERROR(INDEX('Диаграммы'!$A$5:$A$104,MATCH($A170,'Диаграммы'!$B$5:$B$104,0)),"не настроена"))</f>
        <v/>
      </c>
      <c r="S170" s="23" t="str">
        <f t="array" ref="S170">IF(OR($A170="",$R170="не настроена"),"",IFERROR(INDEX('Диаграммы'!$M$5:$M$104,MATCH($R170,'Диаграммы'!$A$5:$A$104,0)),""))</f>
        <v/>
      </c>
      <c r="T170" s="23" t="str">
        <f t="array" ref="T170">IF(OR($A170="",$R170="не настроена"),"",IFERROR(HYPERLINK(INDEX('Диаграммы'!$O$5:$O$104,MATCH($R170,'Диаграммы'!$A$5:$A$104,0)),"открыть"),""))</f>
        <v/>
      </c>
    </row>
    <row r="171" ht="15.75" customHeight="1">
      <c r="A171" s="23" t="str">
        <f>IF('Процессы'!A171="","",'Процессы'!A171)</f>
        <v/>
      </c>
      <c r="B171" s="23" t="str">
        <f t="array" ref="B171">IF($A171="","",IFERROR(INDEX('Система'!$B$5:$B$14,MATCH('Процессы'!B171,'Система'!$A$5:$A$14,0)),"⚠ ID системы"))</f>
        <v/>
      </c>
      <c r="C171" s="23" t="str">
        <f>IF($A171="","",'Процессы'!C171)</f>
        <v/>
      </c>
      <c r="D171" s="23" t="str">
        <f>IF($A171="","",'Процессы'!E171)</f>
        <v/>
      </c>
      <c r="E171" s="23" t="str">
        <f>IF($A171="","",'Процессы'!F171)</f>
        <v/>
      </c>
      <c r="F171" s="23" t="str">
        <f>IF($A171="","",'Процессы'!H171)</f>
        <v/>
      </c>
      <c r="G171" s="23" t="str">
        <f>IF($A171="","",'Процессы'!I171)</f>
        <v/>
      </c>
      <c r="H171" s="23" t="str">
        <f>IF($A171="","",'Процессы'!J171)</f>
        <v/>
      </c>
      <c r="I171" s="23" t="str">
        <f t="array" ref="I171">IF($A171="","",IFERROR(INDEX('Позиции'!$C$5:$C$204,MATCH('Процессы'!M171,'Позиции'!$A$5:$A$204,0)),"⚠ ID позиции"))</f>
        <v/>
      </c>
      <c r="J171" s="23" t="str">
        <f>IF($A171="","",COUNTIF('Действия'!$B$5:$B$304,$A171))</f>
        <v/>
      </c>
      <c r="K171" s="23" t="str">
        <f>IF($A171="","",COUNTIF('Переходы'!$B$5:$B$304,$A171))</f>
        <v/>
      </c>
      <c r="L171" s="23" t="str">
        <f>IF($A171="","",'Процессы'!O171)</f>
        <v/>
      </c>
      <c r="M171" s="23" t="str">
        <f>IF($A171="","",'Процессы'!P171)</f>
        <v/>
      </c>
      <c r="N171" s="23" t="str">
        <f>IF($A171="","",'Процессы'!Q171)</f>
        <v/>
      </c>
      <c r="O171" s="23" t="str">
        <f>IF($A171="","",'Процессы'!R171)</f>
        <v/>
      </c>
      <c r="P171" s="23" t="str">
        <f>IF($A171="","",'Процессы'!S171)</f>
        <v/>
      </c>
      <c r="Q171" s="23" t="str">
        <f>IF($A171="","",IF(COUNTA('Процессы'!B171,'Процессы'!E171,'Процессы'!F171,'Процессы'!H171,'Процессы'!I171,'Процессы'!J171,'Процессы'!M171,'Процессы'!O171,'Процессы'!P171,'Процессы'!R171,'Процессы'!S171)=11,"Готово","Есть пробелы"))</f>
        <v/>
      </c>
      <c r="R171" s="23" t="str">
        <f t="array" ref="R171">IF($A171="","",IFERROR(INDEX('Диаграммы'!$A$5:$A$104,MATCH($A171,'Диаграммы'!$B$5:$B$104,0)),"не настроена"))</f>
        <v/>
      </c>
      <c r="S171" s="23" t="str">
        <f t="array" ref="S171">IF(OR($A171="",$R171="не настроена"),"",IFERROR(INDEX('Диаграммы'!$M$5:$M$104,MATCH($R171,'Диаграммы'!$A$5:$A$104,0)),""))</f>
        <v/>
      </c>
      <c r="T171" s="23" t="str">
        <f t="array" ref="T171">IF(OR($A171="",$R171="не настроена"),"",IFERROR(HYPERLINK(INDEX('Диаграммы'!$O$5:$O$104,MATCH($R171,'Диаграммы'!$A$5:$A$104,0)),"открыть"),""))</f>
        <v/>
      </c>
    </row>
    <row r="172" ht="15.75" customHeight="1">
      <c r="A172" s="23" t="str">
        <f>IF('Процессы'!A172="","",'Процессы'!A172)</f>
        <v/>
      </c>
      <c r="B172" s="23" t="str">
        <f t="array" ref="B172">IF($A172="","",IFERROR(INDEX('Система'!$B$5:$B$14,MATCH('Процессы'!B172,'Система'!$A$5:$A$14,0)),"⚠ ID системы"))</f>
        <v/>
      </c>
      <c r="C172" s="23" t="str">
        <f>IF($A172="","",'Процессы'!C172)</f>
        <v/>
      </c>
      <c r="D172" s="23" t="str">
        <f>IF($A172="","",'Процессы'!E172)</f>
        <v/>
      </c>
      <c r="E172" s="23" t="str">
        <f>IF($A172="","",'Процессы'!F172)</f>
        <v/>
      </c>
      <c r="F172" s="23" t="str">
        <f>IF($A172="","",'Процессы'!H172)</f>
        <v/>
      </c>
      <c r="G172" s="23" t="str">
        <f>IF($A172="","",'Процессы'!I172)</f>
        <v/>
      </c>
      <c r="H172" s="23" t="str">
        <f>IF($A172="","",'Процессы'!J172)</f>
        <v/>
      </c>
      <c r="I172" s="23" t="str">
        <f t="array" ref="I172">IF($A172="","",IFERROR(INDEX('Позиции'!$C$5:$C$204,MATCH('Процессы'!M172,'Позиции'!$A$5:$A$204,0)),"⚠ ID позиции"))</f>
        <v/>
      </c>
      <c r="J172" s="23" t="str">
        <f>IF($A172="","",COUNTIF('Действия'!$B$5:$B$304,$A172))</f>
        <v/>
      </c>
      <c r="K172" s="23" t="str">
        <f>IF($A172="","",COUNTIF('Переходы'!$B$5:$B$304,$A172))</f>
        <v/>
      </c>
      <c r="L172" s="23" t="str">
        <f>IF($A172="","",'Процессы'!O172)</f>
        <v/>
      </c>
      <c r="M172" s="23" t="str">
        <f>IF($A172="","",'Процессы'!P172)</f>
        <v/>
      </c>
      <c r="N172" s="23" t="str">
        <f>IF($A172="","",'Процессы'!Q172)</f>
        <v/>
      </c>
      <c r="O172" s="23" t="str">
        <f>IF($A172="","",'Процессы'!R172)</f>
        <v/>
      </c>
      <c r="P172" s="23" t="str">
        <f>IF($A172="","",'Процессы'!S172)</f>
        <v/>
      </c>
      <c r="Q172" s="23" t="str">
        <f>IF($A172="","",IF(COUNTA('Процессы'!B172,'Процессы'!E172,'Процессы'!F172,'Процессы'!H172,'Процессы'!I172,'Процессы'!J172,'Процессы'!M172,'Процессы'!O172,'Процессы'!P172,'Процессы'!R172,'Процессы'!S172)=11,"Готово","Есть пробелы"))</f>
        <v/>
      </c>
      <c r="R172" s="23" t="str">
        <f t="array" ref="R172">IF($A172="","",IFERROR(INDEX('Диаграммы'!$A$5:$A$104,MATCH($A172,'Диаграммы'!$B$5:$B$104,0)),"не настроена"))</f>
        <v/>
      </c>
      <c r="S172" s="23" t="str">
        <f t="array" ref="S172">IF(OR($A172="",$R172="не настроена"),"",IFERROR(INDEX('Диаграммы'!$M$5:$M$104,MATCH($R172,'Диаграммы'!$A$5:$A$104,0)),""))</f>
        <v/>
      </c>
      <c r="T172" s="23" t="str">
        <f t="array" ref="T172">IF(OR($A172="",$R172="не настроена"),"",IFERROR(HYPERLINK(INDEX('Диаграммы'!$O$5:$O$104,MATCH($R172,'Диаграммы'!$A$5:$A$104,0)),"открыть"),""))</f>
        <v/>
      </c>
    </row>
    <row r="173" ht="15.75" customHeight="1">
      <c r="A173" s="23" t="str">
        <f>IF('Процессы'!A173="","",'Процессы'!A173)</f>
        <v/>
      </c>
      <c r="B173" s="23" t="str">
        <f t="array" ref="B173">IF($A173="","",IFERROR(INDEX('Система'!$B$5:$B$14,MATCH('Процессы'!B173,'Система'!$A$5:$A$14,0)),"⚠ ID системы"))</f>
        <v/>
      </c>
      <c r="C173" s="23" t="str">
        <f>IF($A173="","",'Процессы'!C173)</f>
        <v/>
      </c>
      <c r="D173" s="23" t="str">
        <f>IF($A173="","",'Процессы'!E173)</f>
        <v/>
      </c>
      <c r="E173" s="23" t="str">
        <f>IF($A173="","",'Процессы'!F173)</f>
        <v/>
      </c>
      <c r="F173" s="23" t="str">
        <f>IF($A173="","",'Процессы'!H173)</f>
        <v/>
      </c>
      <c r="G173" s="23" t="str">
        <f>IF($A173="","",'Процессы'!I173)</f>
        <v/>
      </c>
      <c r="H173" s="23" t="str">
        <f>IF($A173="","",'Процессы'!J173)</f>
        <v/>
      </c>
      <c r="I173" s="23" t="str">
        <f t="array" ref="I173">IF($A173="","",IFERROR(INDEX('Позиции'!$C$5:$C$204,MATCH('Процессы'!M173,'Позиции'!$A$5:$A$204,0)),"⚠ ID позиции"))</f>
        <v/>
      </c>
      <c r="J173" s="23" t="str">
        <f>IF($A173="","",COUNTIF('Действия'!$B$5:$B$304,$A173))</f>
        <v/>
      </c>
      <c r="K173" s="23" t="str">
        <f>IF($A173="","",COUNTIF('Переходы'!$B$5:$B$304,$A173))</f>
        <v/>
      </c>
      <c r="L173" s="23" t="str">
        <f>IF($A173="","",'Процессы'!O173)</f>
        <v/>
      </c>
      <c r="M173" s="23" t="str">
        <f>IF($A173="","",'Процессы'!P173)</f>
        <v/>
      </c>
      <c r="N173" s="23" t="str">
        <f>IF($A173="","",'Процессы'!Q173)</f>
        <v/>
      </c>
      <c r="O173" s="23" t="str">
        <f>IF($A173="","",'Процессы'!R173)</f>
        <v/>
      </c>
      <c r="P173" s="23" t="str">
        <f>IF($A173="","",'Процессы'!S173)</f>
        <v/>
      </c>
      <c r="Q173" s="23" t="str">
        <f>IF($A173="","",IF(COUNTA('Процессы'!B173,'Процессы'!E173,'Процессы'!F173,'Процессы'!H173,'Процессы'!I173,'Процессы'!J173,'Процессы'!M173,'Процессы'!O173,'Процессы'!P173,'Процессы'!R173,'Процессы'!S173)=11,"Готово","Есть пробелы"))</f>
        <v/>
      </c>
      <c r="R173" s="23" t="str">
        <f t="array" ref="R173">IF($A173="","",IFERROR(INDEX('Диаграммы'!$A$5:$A$104,MATCH($A173,'Диаграммы'!$B$5:$B$104,0)),"не настроена"))</f>
        <v/>
      </c>
      <c r="S173" s="23" t="str">
        <f t="array" ref="S173">IF(OR($A173="",$R173="не настроена"),"",IFERROR(INDEX('Диаграммы'!$M$5:$M$104,MATCH($R173,'Диаграммы'!$A$5:$A$104,0)),""))</f>
        <v/>
      </c>
      <c r="T173" s="23" t="str">
        <f t="array" ref="T173">IF(OR($A173="",$R173="не настроена"),"",IFERROR(HYPERLINK(INDEX('Диаграммы'!$O$5:$O$104,MATCH($R173,'Диаграммы'!$A$5:$A$104,0)),"открыть"),""))</f>
        <v/>
      </c>
    </row>
    <row r="174" ht="15.75" customHeight="1">
      <c r="A174" s="23" t="str">
        <f>IF('Процессы'!A174="","",'Процессы'!A174)</f>
        <v/>
      </c>
      <c r="B174" s="23" t="str">
        <f t="array" ref="B174">IF($A174="","",IFERROR(INDEX('Система'!$B$5:$B$14,MATCH('Процессы'!B174,'Система'!$A$5:$A$14,0)),"⚠ ID системы"))</f>
        <v/>
      </c>
      <c r="C174" s="23" t="str">
        <f>IF($A174="","",'Процессы'!C174)</f>
        <v/>
      </c>
      <c r="D174" s="23" t="str">
        <f>IF($A174="","",'Процессы'!E174)</f>
        <v/>
      </c>
      <c r="E174" s="23" t="str">
        <f>IF($A174="","",'Процессы'!F174)</f>
        <v/>
      </c>
      <c r="F174" s="23" t="str">
        <f>IF($A174="","",'Процессы'!H174)</f>
        <v/>
      </c>
      <c r="G174" s="23" t="str">
        <f>IF($A174="","",'Процессы'!I174)</f>
        <v/>
      </c>
      <c r="H174" s="23" t="str">
        <f>IF($A174="","",'Процессы'!J174)</f>
        <v/>
      </c>
      <c r="I174" s="23" t="str">
        <f t="array" ref="I174">IF($A174="","",IFERROR(INDEX('Позиции'!$C$5:$C$204,MATCH('Процессы'!M174,'Позиции'!$A$5:$A$204,0)),"⚠ ID позиции"))</f>
        <v/>
      </c>
      <c r="J174" s="23" t="str">
        <f>IF($A174="","",COUNTIF('Действия'!$B$5:$B$304,$A174))</f>
        <v/>
      </c>
      <c r="K174" s="23" t="str">
        <f>IF($A174="","",COUNTIF('Переходы'!$B$5:$B$304,$A174))</f>
        <v/>
      </c>
      <c r="L174" s="23" t="str">
        <f>IF($A174="","",'Процессы'!O174)</f>
        <v/>
      </c>
      <c r="M174" s="23" t="str">
        <f>IF($A174="","",'Процессы'!P174)</f>
        <v/>
      </c>
      <c r="N174" s="23" t="str">
        <f>IF($A174="","",'Процессы'!Q174)</f>
        <v/>
      </c>
      <c r="O174" s="23" t="str">
        <f>IF($A174="","",'Процессы'!R174)</f>
        <v/>
      </c>
      <c r="P174" s="23" t="str">
        <f>IF($A174="","",'Процессы'!S174)</f>
        <v/>
      </c>
      <c r="Q174" s="23" t="str">
        <f>IF($A174="","",IF(COUNTA('Процессы'!B174,'Процессы'!E174,'Процессы'!F174,'Процессы'!H174,'Процессы'!I174,'Процессы'!J174,'Процессы'!M174,'Процессы'!O174,'Процессы'!P174,'Процессы'!R174,'Процессы'!S174)=11,"Готово","Есть пробелы"))</f>
        <v/>
      </c>
      <c r="R174" s="23" t="str">
        <f t="array" ref="R174">IF($A174="","",IFERROR(INDEX('Диаграммы'!$A$5:$A$104,MATCH($A174,'Диаграммы'!$B$5:$B$104,0)),"не настроена"))</f>
        <v/>
      </c>
      <c r="S174" s="23" t="str">
        <f t="array" ref="S174">IF(OR($A174="",$R174="не настроена"),"",IFERROR(INDEX('Диаграммы'!$M$5:$M$104,MATCH($R174,'Диаграммы'!$A$5:$A$104,0)),""))</f>
        <v/>
      </c>
      <c r="T174" s="23" t="str">
        <f t="array" ref="T174">IF(OR($A174="",$R174="не настроена"),"",IFERROR(HYPERLINK(INDEX('Диаграммы'!$O$5:$O$104,MATCH($R174,'Диаграммы'!$A$5:$A$104,0)),"открыть"),""))</f>
        <v/>
      </c>
    </row>
    <row r="175" ht="15.75" customHeight="1">
      <c r="A175" s="23" t="str">
        <f>IF('Процессы'!A175="","",'Процессы'!A175)</f>
        <v/>
      </c>
      <c r="B175" s="23" t="str">
        <f t="array" ref="B175">IF($A175="","",IFERROR(INDEX('Система'!$B$5:$B$14,MATCH('Процессы'!B175,'Система'!$A$5:$A$14,0)),"⚠ ID системы"))</f>
        <v/>
      </c>
      <c r="C175" s="23" t="str">
        <f>IF($A175="","",'Процессы'!C175)</f>
        <v/>
      </c>
      <c r="D175" s="23" t="str">
        <f>IF($A175="","",'Процессы'!E175)</f>
        <v/>
      </c>
      <c r="E175" s="23" t="str">
        <f>IF($A175="","",'Процессы'!F175)</f>
        <v/>
      </c>
      <c r="F175" s="23" t="str">
        <f>IF($A175="","",'Процессы'!H175)</f>
        <v/>
      </c>
      <c r="G175" s="23" t="str">
        <f>IF($A175="","",'Процессы'!I175)</f>
        <v/>
      </c>
      <c r="H175" s="23" t="str">
        <f>IF($A175="","",'Процессы'!J175)</f>
        <v/>
      </c>
      <c r="I175" s="23" t="str">
        <f t="array" ref="I175">IF($A175="","",IFERROR(INDEX('Позиции'!$C$5:$C$204,MATCH('Процессы'!M175,'Позиции'!$A$5:$A$204,0)),"⚠ ID позиции"))</f>
        <v/>
      </c>
      <c r="J175" s="23" t="str">
        <f>IF($A175="","",COUNTIF('Действия'!$B$5:$B$304,$A175))</f>
        <v/>
      </c>
      <c r="K175" s="23" t="str">
        <f>IF($A175="","",COUNTIF('Переходы'!$B$5:$B$304,$A175))</f>
        <v/>
      </c>
      <c r="L175" s="23" t="str">
        <f>IF($A175="","",'Процессы'!O175)</f>
        <v/>
      </c>
      <c r="M175" s="23" t="str">
        <f>IF($A175="","",'Процессы'!P175)</f>
        <v/>
      </c>
      <c r="N175" s="23" t="str">
        <f>IF($A175="","",'Процессы'!Q175)</f>
        <v/>
      </c>
      <c r="O175" s="23" t="str">
        <f>IF($A175="","",'Процессы'!R175)</f>
        <v/>
      </c>
      <c r="P175" s="23" t="str">
        <f>IF($A175="","",'Процессы'!S175)</f>
        <v/>
      </c>
      <c r="Q175" s="23" t="str">
        <f>IF($A175="","",IF(COUNTA('Процессы'!B175,'Процессы'!E175,'Процессы'!F175,'Процессы'!H175,'Процессы'!I175,'Процессы'!J175,'Процессы'!M175,'Процессы'!O175,'Процессы'!P175,'Процессы'!R175,'Процессы'!S175)=11,"Готово","Есть пробелы"))</f>
        <v/>
      </c>
      <c r="R175" s="23" t="str">
        <f t="array" ref="R175">IF($A175="","",IFERROR(INDEX('Диаграммы'!$A$5:$A$104,MATCH($A175,'Диаграммы'!$B$5:$B$104,0)),"не настроена"))</f>
        <v/>
      </c>
      <c r="S175" s="23" t="str">
        <f t="array" ref="S175">IF(OR($A175="",$R175="не настроена"),"",IFERROR(INDEX('Диаграммы'!$M$5:$M$104,MATCH($R175,'Диаграммы'!$A$5:$A$104,0)),""))</f>
        <v/>
      </c>
      <c r="T175" s="23" t="str">
        <f t="array" ref="T175">IF(OR($A175="",$R175="не настроена"),"",IFERROR(HYPERLINK(INDEX('Диаграммы'!$O$5:$O$104,MATCH($R175,'Диаграммы'!$A$5:$A$104,0)),"открыть"),""))</f>
        <v/>
      </c>
    </row>
    <row r="176" ht="15.75" customHeight="1">
      <c r="A176" s="23" t="str">
        <f>IF('Процессы'!A176="","",'Процессы'!A176)</f>
        <v/>
      </c>
      <c r="B176" s="23" t="str">
        <f t="array" ref="B176">IF($A176="","",IFERROR(INDEX('Система'!$B$5:$B$14,MATCH('Процессы'!B176,'Система'!$A$5:$A$14,0)),"⚠ ID системы"))</f>
        <v/>
      </c>
      <c r="C176" s="23" t="str">
        <f>IF($A176="","",'Процессы'!C176)</f>
        <v/>
      </c>
      <c r="D176" s="23" t="str">
        <f>IF($A176="","",'Процессы'!E176)</f>
        <v/>
      </c>
      <c r="E176" s="23" t="str">
        <f>IF($A176="","",'Процессы'!F176)</f>
        <v/>
      </c>
      <c r="F176" s="23" t="str">
        <f>IF($A176="","",'Процессы'!H176)</f>
        <v/>
      </c>
      <c r="G176" s="23" t="str">
        <f>IF($A176="","",'Процессы'!I176)</f>
        <v/>
      </c>
      <c r="H176" s="23" t="str">
        <f>IF($A176="","",'Процессы'!J176)</f>
        <v/>
      </c>
      <c r="I176" s="23" t="str">
        <f t="array" ref="I176">IF($A176="","",IFERROR(INDEX('Позиции'!$C$5:$C$204,MATCH('Процессы'!M176,'Позиции'!$A$5:$A$204,0)),"⚠ ID позиции"))</f>
        <v/>
      </c>
      <c r="J176" s="23" t="str">
        <f>IF($A176="","",COUNTIF('Действия'!$B$5:$B$304,$A176))</f>
        <v/>
      </c>
      <c r="K176" s="23" t="str">
        <f>IF($A176="","",COUNTIF('Переходы'!$B$5:$B$304,$A176))</f>
        <v/>
      </c>
      <c r="L176" s="23" t="str">
        <f>IF($A176="","",'Процессы'!O176)</f>
        <v/>
      </c>
      <c r="M176" s="23" t="str">
        <f>IF($A176="","",'Процессы'!P176)</f>
        <v/>
      </c>
      <c r="N176" s="23" t="str">
        <f>IF($A176="","",'Процессы'!Q176)</f>
        <v/>
      </c>
      <c r="O176" s="23" t="str">
        <f>IF($A176="","",'Процессы'!R176)</f>
        <v/>
      </c>
      <c r="P176" s="23" t="str">
        <f>IF($A176="","",'Процессы'!S176)</f>
        <v/>
      </c>
      <c r="Q176" s="23" t="str">
        <f>IF($A176="","",IF(COUNTA('Процессы'!B176,'Процессы'!E176,'Процессы'!F176,'Процессы'!H176,'Процессы'!I176,'Процессы'!J176,'Процессы'!M176,'Процессы'!O176,'Процессы'!P176,'Процессы'!R176,'Процессы'!S176)=11,"Готово","Есть пробелы"))</f>
        <v/>
      </c>
      <c r="R176" s="23" t="str">
        <f t="array" ref="R176">IF($A176="","",IFERROR(INDEX('Диаграммы'!$A$5:$A$104,MATCH($A176,'Диаграммы'!$B$5:$B$104,0)),"не настроена"))</f>
        <v/>
      </c>
      <c r="S176" s="23" t="str">
        <f t="array" ref="S176">IF(OR($A176="",$R176="не настроена"),"",IFERROR(INDEX('Диаграммы'!$M$5:$M$104,MATCH($R176,'Диаграммы'!$A$5:$A$104,0)),""))</f>
        <v/>
      </c>
      <c r="T176" s="23" t="str">
        <f t="array" ref="T176">IF(OR($A176="",$R176="не настроена"),"",IFERROR(HYPERLINK(INDEX('Диаграммы'!$O$5:$O$104,MATCH($R176,'Диаграммы'!$A$5:$A$104,0)),"открыть"),""))</f>
        <v/>
      </c>
    </row>
    <row r="177" ht="15.75" customHeight="1">
      <c r="A177" s="23" t="str">
        <f>IF('Процессы'!A177="","",'Процессы'!A177)</f>
        <v/>
      </c>
      <c r="B177" s="23" t="str">
        <f t="array" ref="B177">IF($A177="","",IFERROR(INDEX('Система'!$B$5:$B$14,MATCH('Процессы'!B177,'Система'!$A$5:$A$14,0)),"⚠ ID системы"))</f>
        <v/>
      </c>
      <c r="C177" s="23" t="str">
        <f>IF($A177="","",'Процессы'!C177)</f>
        <v/>
      </c>
      <c r="D177" s="23" t="str">
        <f>IF($A177="","",'Процессы'!E177)</f>
        <v/>
      </c>
      <c r="E177" s="23" t="str">
        <f>IF($A177="","",'Процессы'!F177)</f>
        <v/>
      </c>
      <c r="F177" s="23" t="str">
        <f>IF($A177="","",'Процессы'!H177)</f>
        <v/>
      </c>
      <c r="G177" s="23" t="str">
        <f>IF($A177="","",'Процессы'!I177)</f>
        <v/>
      </c>
      <c r="H177" s="23" t="str">
        <f>IF($A177="","",'Процессы'!J177)</f>
        <v/>
      </c>
      <c r="I177" s="23" t="str">
        <f t="array" ref="I177">IF($A177="","",IFERROR(INDEX('Позиции'!$C$5:$C$204,MATCH('Процессы'!M177,'Позиции'!$A$5:$A$204,0)),"⚠ ID позиции"))</f>
        <v/>
      </c>
      <c r="J177" s="23" t="str">
        <f>IF($A177="","",COUNTIF('Действия'!$B$5:$B$304,$A177))</f>
        <v/>
      </c>
      <c r="K177" s="23" t="str">
        <f>IF($A177="","",COUNTIF('Переходы'!$B$5:$B$304,$A177))</f>
        <v/>
      </c>
      <c r="L177" s="23" t="str">
        <f>IF($A177="","",'Процессы'!O177)</f>
        <v/>
      </c>
      <c r="M177" s="23" t="str">
        <f>IF($A177="","",'Процессы'!P177)</f>
        <v/>
      </c>
      <c r="N177" s="23" t="str">
        <f>IF($A177="","",'Процессы'!Q177)</f>
        <v/>
      </c>
      <c r="O177" s="23" t="str">
        <f>IF($A177="","",'Процессы'!R177)</f>
        <v/>
      </c>
      <c r="P177" s="23" t="str">
        <f>IF($A177="","",'Процессы'!S177)</f>
        <v/>
      </c>
      <c r="Q177" s="23" t="str">
        <f>IF($A177="","",IF(COUNTA('Процессы'!B177,'Процессы'!E177,'Процессы'!F177,'Процессы'!H177,'Процессы'!I177,'Процессы'!J177,'Процессы'!M177,'Процессы'!O177,'Процессы'!P177,'Процессы'!R177,'Процессы'!S177)=11,"Готово","Есть пробелы"))</f>
        <v/>
      </c>
      <c r="R177" s="23" t="str">
        <f t="array" ref="R177">IF($A177="","",IFERROR(INDEX('Диаграммы'!$A$5:$A$104,MATCH($A177,'Диаграммы'!$B$5:$B$104,0)),"не настроена"))</f>
        <v/>
      </c>
      <c r="S177" s="23" t="str">
        <f t="array" ref="S177">IF(OR($A177="",$R177="не настроена"),"",IFERROR(INDEX('Диаграммы'!$M$5:$M$104,MATCH($R177,'Диаграммы'!$A$5:$A$104,0)),""))</f>
        <v/>
      </c>
      <c r="T177" s="23" t="str">
        <f t="array" ref="T177">IF(OR($A177="",$R177="не настроена"),"",IFERROR(HYPERLINK(INDEX('Диаграммы'!$O$5:$O$104,MATCH($R177,'Диаграммы'!$A$5:$A$104,0)),"открыть"),""))</f>
        <v/>
      </c>
    </row>
    <row r="178" ht="15.75" customHeight="1">
      <c r="A178" s="23" t="str">
        <f>IF('Процессы'!A178="","",'Процессы'!A178)</f>
        <v/>
      </c>
      <c r="B178" s="23" t="str">
        <f t="array" ref="B178">IF($A178="","",IFERROR(INDEX('Система'!$B$5:$B$14,MATCH('Процессы'!B178,'Система'!$A$5:$A$14,0)),"⚠ ID системы"))</f>
        <v/>
      </c>
      <c r="C178" s="23" t="str">
        <f>IF($A178="","",'Процессы'!C178)</f>
        <v/>
      </c>
      <c r="D178" s="23" t="str">
        <f>IF($A178="","",'Процессы'!E178)</f>
        <v/>
      </c>
      <c r="E178" s="23" t="str">
        <f>IF($A178="","",'Процессы'!F178)</f>
        <v/>
      </c>
      <c r="F178" s="23" t="str">
        <f>IF($A178="","",'Процессы'!H178)</f>
        <v/>
      </c>
      <c r="G178" s="23" t="str">
        <f>IF($A178="","",'Процессы'!I178)</f>
        <v/>
      </c>
      <c r="H178" s="23" t="str">
        <f>IF($A178="","",'Процессы'!J178)</f>
        <v/>
      </c>
      <c r="I178" s="23" t="str">
        <f t="array" ref="I178">IF($A178="","",IFERROR(INDEX('Позиции'!$C$5:$C$204,MATCH('Процессы'!M178,'Позиции'!$A$5:$A$204,0)),"⚠ ID позиции"))</f>
        <v/>
      </c>
      <c r="J178" s="23" t="str">
        <f>IF($A178="","",COUNTIF('Действия'!$B$5:$B$304,$A178))</f>
        <v/>
      </c>
      <c r="K178" s="23" t="str">
        <f>IF($A178="","",COUNTIF('Переходы'!$B$5:$B$304,$A178))</f>
        <v/>
      </c>
      <c r="L178" s="23" t="str">
        <f>IF($A178="","",'Процессы'!O178)</f>
        <v/>
      </c>
      <c r="M178" s="23" t="str">
        <f>IF($A178="","",'Процессы'!P178)</f>
        <v/>
      </c>
      <c r="N178" s="23" t="str">
        <f>IF($A178="","",'Процессы'!Q178)</f>
        <v/>
      </c>
      <c r="O178" s="23" t="str">
        <f>IF($A178="","",'Процессы'!R178)</f>
        <v/>
      </c>
      <c r="P178" s="23" t="str">
        <f>IF($A178="","",'Процессы'!S178)</f>
        <v/>
      </c>
      <c r="Q178" s="23" t="str">
        <f>IF($A178="","",IF(COUNTA('Процессы'!B178,'Процессы'!E178,'Процессы'!F178,'Процессы'!H178,'Процессы'!I178,'Процессы'!J178,'Процессы'!M178,'Процессы'!O178,'Процессы'!P178,'Процессы'!R178,'Процессы'!S178)=11,"Готово","Есть пробелы"))</f>
        <v/>
      </c>
      <c r="R178" s="23" t="str">
        <f t="array" ref="R178">IF($A178="","",IFERROR(INDEX('Диаграммы'!$A$5:$A$104,MATCH($A178,'Диаграммы'!$B$5:$B$104,0)),"не настроена"))</f>
        <v/>
      </c>
      <c r="S178" s="23" t="str">
        <f t="array" ref="S178">IF(OR($A178="",$R178="не настроена"),"",IFERROR(INDEX('Диаграммы'!$M$5:$M$104,MATCH($R178,'Диаграммы'!$A$5:$A$104,0)),""))</f>
        <v/>
      </c>
      <c r="T178" s="23" t="str">
        <f t="array" ref="T178">IF(OR($A178="",$R178="не настроена"),"",IFERROR(HYPERLINK(INDEX('Диаграммы'!$O$5:$O$104,MATCH($R178,'Диаграммы'!$A$5:$A$104,0)),"открыть"),""))</f>
        <v/>
      </c>
    </row>
    <row r="179" ht="15.75" customHeight="1">
      <c r="A179" s="23" t="str">
        <f>IF('Процессы'!A179="","",'Процессы'!A179)</f>
        <v/>
      </c>
      <c r="B179" s="23" t="str">
        <f t="array" ref="B179">IF($A179="","",IFERROR(INDEX('Система'!$B$5:$B$14,MATCH('Процессы'!B179,'Система'!$A$5:$A$14,0)),"⚠ ID системы"))</f>
        <v/>
      </c>
      <c r="C179" s="23" t="str">
        <f>IF($A179="","",'Процессы'!C179)</f>
        <v/>
      </c>
      <c r="D179" s="23" t="str">
        <f>IF($A179="","",'Процессы'!E179)</f>
        <v/>
      </c>
      <c r="E179" s="23" t="str">
        <f>IF($A179="","",'Процессы'!F179)</f>
        <v/>
      </c>
      <c r="F179" s="23" t="str">
        <f>IF($A179="","",'Процессы'!H179)</f>
        <v/>
      </c>
      <c r="G179" s="23" t="str">
        <f>IF($A179="","",'Процессы'!I179)</f>
        <v/>
      </c>
      <c r="H179" s="23" t="str">
        <f>IF($A179="","",'Процессы'!J179)</f>
        <v/>
      </c>
      <c r="I179" s="23" t="str">
        <f t="array" ref="I179">IF($A179="","",IFERROR(INDEX('Позиции'!$C$5:$C$204,MATCH('Процессы'!M179,'Позиции'!$A$5:$A$204,0)),"⚠ ID позиции"))</f>
        <v/>
      </c>
      <c r="J179" s="23" t="str">
        <f>IF($A179="","",COUNTIF('Действия'!$B$5:$B$304,$A179))</f>
        <v/>
      </c>
      <c r="K179" s="23" t="str">
        <f>IF($A179="","",COUNTIF('Переходы'!$B$5:$B$304,$A179))</f>
        <v/>
      </c>
      <c r="L179" s="23" t="str">
        <f>IF($A179="","",'Процессы'!O179)</f>
        <v/>
      </c>
      <c r="M179" s="23" t="str">
        <f>IF($A179="","",'Процессы'!P179)</f>
        <v/>
      </c>
      <c r="N179" s="23" t="str">
        <f>IF($A179="","",'Процессы'!Q179)</f>
        <v/>
      </c>
      <c r="O179" s="23" t="str">
        <f>IF($A179="","",'Процессы'!R179)</f>
        <v/>
      </c>
      <c r="P179" s="23" t="str">
        <f>IF($A179="","",'Процессы'!S179)</f>
        <v/>
      </c>
      <c r="Q179" s="23" t="str">
        <f>IF($A179="","",IF(COUNTA('Процессы'!B179,'Процессы'!E179,'Процессы'!F179,'Процессы'!H179,'Процессы'!I179,'Процессы'!J179,'Процессы'!M179,'Процессы'!O179,'Процессы'!P179,'Процессы'!R179,'Процессы'!S179)=11,"Готово","Есть пробелы"))</f>
        <v/>
      </c>
      <c r="R179" s="23" t="str">
        <f t="array" ref="R179">IF($A179="","",IFERROR(INDEX('Диаграммы'!$A$5:$A$104,MATCH($A179,'Диаграммы'!$B$5:$B$104,0)),"не настроена"))</f>
        <v/>
      </c>
      <c r="S179" s="23" t="str">
        <f t="array" ref="S179">IF(OR($A179="",$R179="не настроена"),"",IFERROR(INDEX('Диаграммы'!$M$5:$M$104,MATCH($R179,'Диаграммы'!$A$5:$A$104,0)),""))</f>
        <v/>
      </c>
      <c r="T179" s="23" t="str">
        <f t="array" ref="T179">IF(OR($A179="",$R179="не настроена"),"",IFERROR(HYPERLINK(INDEX('Диаграммы'!$O$5:$O$104,MATCH($R179,'Диаграммы'!$A$5:$A$104,0)),"открыть"),""))</f>
        <v/>
      </c>
    </row>
    <row r="180" ht="15.75" customHeight="1">
      <c r="A180" s="23" t="str">
        <f>IF('Процессы'!A180="","",'Процессы'!A180)</f>
        <v/>
      </c>
      <c r="B180" s="23" t="str">
        <f t="array" ref="B180">IF($A180="","",IFERROR(INDEX('Система'!$B$5:$B$14,MATCH('Процессы'!B180,'Система'!$A$5:$A$14,0)),"⚠ ID системы"))</f>
        <v/>
      </c>
      <c r="C180" s="23" t="str">
        <f>IF($A180="","",'Процессы'!C180)</f>
        <v/>
      </c>
      <c r="D180" s="23" t="str">
        <f>IF($A180="","",'Процессы'!E180)</f>
        <v/>
      </c>
      <c r="E180" s="23" t="str">
        <f>IF($A180="","",'Процессы'!F180)</f>
        <v/>
      </c>
      <c r="F180" s="23" t="str">
        <f>IF($A180="","",'Процессы'!H180)</f>
        <v/>
      </c>
      <c r="G180" s="23" t="str">
        <f>IF($A180="","",'Процессы'!I180)</f>
        <v/>
      </c>
      <c r="H180" s="23" t="str">
        <f>IF($A180="","",'Процессы'!J180)</f>
        <v/>
      </c>
      <c r="I180" s="23" t="str">
        <f t="array" ref="I180">IF($A180="","",IFERROR(INDEX('Позиции'!$C$5:$C$204,MATCH('Процессы'!M180,'Позиции'!$A$5:$A$204,0)),"⚠ ID позиции"))</f>
        <v/>
      </c>
      <c r="J180" s="23" t="str">
        <f>IF($A180="","",COUNTIF('Действия'!$B$5:$B$304,$A180))</f>
        <v/>
      </c>
      <c r="K180" s="23" t="str">
        <f>IF($A180="","",COUNTIF('Переходы'!$B$5:$B$304,$A180))</f>
        <v/>
      </c>
      <c r="L180" s="23" t="str">
        <f>IF($A180="","",'Процессы'!O180)</f>
        <v/>
      </c>
      <c r="M180" s="23" t="str">
        <f>IF($A180="","",'Процессы'!P180)</f>
        <v/>
      </c>
      <c r="N180" s="23" t="str">
        <f>IF($A180="","",'Процессы'!Q180)</f>
        <v/>
      </c>
      <c r="O180" s="23" t="str">
        <f>IF($A180="","",'Процессы'!R180)</f>
        <v/>
      </c>
      <c r="P180" s="23" t="str">
        <f>IF($A180="","",'Процессы'!S180)</f>
        <v/>
      </c>
      <c r="Q180" s="23" t="str">
        <f>IF($A180="","",IF(COUNTA('Процессы'!B180,'Процессы'!E180,'Процессы'!F180,'Процессы'!H180,'Процессы'!I180,'Процессы'!J180,'Процессы'!M180,'Процессы'!O180,'Процессы'!P180,'Процессы'!R180,'Процессы'!S180)=11,"Готово","Есть пробелы"))</f>
        <v/>
      </c>
      <c r="R180" s="23" t="str">
        <f t="array" ref="R180">IF($A180="","",IFERROR(INDEX('Диаграммы'!$A$5:$A$104,MATCH($A180,'Диаграммы'!$B$5:$B$104,0)),"не настроена"))</f>
        <v/>
      </c>
      <c r="S180" s="23" t="str">
        <f t="array" ref="S180">IF(OR($A180="",$R180="не настроена"),"",IFERROR(INDEX('Диаграммы'!$M$5:$M$104,MATCH($R180,'Диаграммы'!$A$5:$A$104,0)),""))</f>
        <v/>
      </c>
      <c r="T180" s="23" t="str">
        <f t="array" ref="T180">IF(OR($A180="",$R180="не настроена"),"",IFERROR(HYPERLINK(INDEX('Диаграммы'!$O$5:$O$104,MATCH($R180,'Диаграммы'!$A$5:$A$104,0)),"открыть"),""))</f>
        <v/>
      </c>
    </row>
    <row r="181" ht="15.75" customHeight="1">
      <c r="A181" s="23" t="str">
        <f>IF('Процессы'!A181="","",'Процессы'!A181)</f>
        <v/>
      </c>
      <c r="B181" s="23" t="str">
        <f t="array" ref="B181">IF($A181="","",IFERROR(INDEX('Система'!$B$5:$B$14,MATCH('Процессы'!B181,'Система'!$A$5:$A$14,0)),"⚠ ID системы"))</f>
        <v/>
      </c>
      <c r="C181" s="23" t="str">
        <f>IF($A181="","",'Процессы'!C181)</f>
        <v/>
      </c>
      <c r="D181" s="23" t="str">
        <f>IF($A181="","",'Процессы'!E181)</f>
        <v/>
      </c>
      <c r="E181" s="23" t="str">
        <f>IF($A181="","",'Процессы'!F181)</f>
        <v/>
      </c>
      <c r="F181" s="23" t="str">
        <f>IF($A181="","",'Процессы'!H181)</f>
        <v/>
      </c>
      <c r="G181" s="23" t="str">
        <f>IF($A181="","",'Процессы'!I181)</f>
        <v/>
      </c>
      <c r="H181" s="23" t="str">
        <f>IF($A181="","",'Процессы'!J181)</f>
        <v/>
      </c>
      <c r="I181" s="23" t="str">
        <f t="array" ref="I181">IF($A181="","",IFERROR(INDEX('Позиции'!$C$5:$C$204,MATCH('Процессы'!M181,'Позиции'!$A$5:$A$204,0)),"⚠ ID позиции"))</f>
        <v/>
      </c>
      <c r="J181" s="23" t="str">
        <f>IF($A181="","",COUNTIF('Действия'!$B$5:$B$304,$A181))</f>
        <v/>
      </c>
      <c r="K181" s="23" t="str">
        <f>IF($A181="","",COUNTIF('Переходы'!$B$5:$B$304,$A181))</f>
        <v/>
      </c>
      <c r="L181" s="23" t="str">
        <f>IF($A181="","",'Процессы'!O181)</f>
        <v/>
      </c>
      <c r="M181" s="23" t="str">
        <f>IF($A181="","",'Процессы'!P181)</f>
        <v/>
      </c>
      <c r="N181" s="23" t="str">
        <f>IF($A181="","",'Процессы'!Q181)</f>
        <v/>
      </c>
      <c r="O181" s="23" t="str">
        <f>IF($A181="","",'Процессы'!R181)</f>
        <v/>
      </c>
      <c r="P181" s="23" t="str">
        <f>IF($A181="","",'Процессы'!S181)</f>
        <v/>
      </c>
      <c r="Q181" s="23" t="str">
        <f>IF($A181="","",IF(COUNTA('Процессы'!B181,'Процессы'!E181,'Процессы'!F181,'Процессы'!H181,'Процессы'!I181,'Процессы'!J181,'Процессы'!M181,'Процессы'!O181,'Процессы'!P181,'Процессы'!R181,'Процессы'!S181)=11,"Готово","Есть пробелы"))</f>
        <v/>
      </c>
      <c r="R181" s="23" t="str">
        <f t="array" ref="R181">IF($A181="","",IFERROR(INDEX('Диаграммы'!$A$5:$A$104,MATCH($A181,'Диаграммы'!$B$5:$B$104,0)),"не настроена"))</f>
        <v/>
      </c>
      <c r="S181" s="23" t="str">
        <f t="array" ref="S181">IF(OR($A181="",$R181="не настроена"),"",IFERROR(INDEX('Диаграммы'!$M$5:$M$104,MATCH($R181,'Диаграммы'!$A$5:$A$104,0)),""))</f>
        <v/>
      </c>
      <c r="T181" s="23" t="str">
        <f t="array" ref="T181">IF(OR($A181="",$R181="не настроена"),"",IFERROR(HYPERLINK(INDEX('Диаграммы'!$O$5:$O$104,MATCH($R181,'Диаграммы'!$A$5:$A$104,0)),"открыть"),""))</f>
        <v/>
      </c>
    </row>
    <row r="182" ht="15.75" customHeight="1">
      <c r="A182" s="23" t="str">
        <f>IF('Процессы'!A182="","",'Процессы'!A182)</f>
        <v/>
      </c>
      <c r="B182" s="23" t="str">
        <f t="array" ref="B182">IF($A182="","",IFERROR(INDEX('Система'!$B$5:$B$14,MATCH('Процессы'!B182,'Система'!$A$5:$A$14,0)),"⚠ ID системы"))</f>
        <v/>
      </c>
      <c r="C182" s="23" t="str">
        <f>IF($A182="","",'Процессы'!C182)</f>
        <v/>
      </c>
      <c r="D182" s="23" t="str">
        <f>IF($A182="","",'Процессы'!E182)</f>
        <v/>
      </c>
      <c r="E182" s="23" t="str">
        <f>IF($A182="","",'Процессы'!F182)</f>
        <v/>
      </c>
      <c r="F182" s="23" t="str">
        <f>IF($A182="","",'Процессы'!H182)</f>
        <v/>
      </c>
      <c r="G182" s="23" t="str">
        <f>IF($A182="","",'Процессы'!I182)</f>
        <v/>
      </c>
      <c r="H182" s="23" t="str">
        <f>IF($A182="","",'Процессы'!J182)</f>
        <v/>
      </c>
      <c r="I182" s="23" t="str">
        <f t="array" ref="I182">IF($A182="","",IFERROR(INDEX('Позиции'!$C$5:$C$204,MATCH('Процессы'!M182,'Позиции'!$A$5:$A$204,0)),"⚠ ID позиции"))</f>
        <v/>
      </c>
      <c r="J182" s="23" t="str">
        <f>IF($A182="","",COUNTIF('Действия'!$B$5:$B$304,$A182))</f>
        <v/>
      </c>
      <c r="K182" s="23" t="str">
        <f>IF($A182="","",COUNTIF('Переходы'!$B$5:$B$304,$A182))</f>
        <v/>
      </c>
      <c r="L182" s="23" t="str">
        <f>IF($A182="","",'Процессы'!O182)</f>
        <v/>
      </c>
      <c r="M182" s="23" t="str">
        <f>IF($A182="","",'Процессы'!P182)</f>
        <v/>
      </c>
      <c r="N182" s="23" t="str">
        <f>IF($A182="","",'Процессы'!Q182)</f>
        <v/>
      </c>
      <c r="O182" s="23" t="str">
        <f>IF($A182="","",'Процессы'!R182)</f>
        <v/>
      </c>
      <c r="P182" s="23" t="str">
        <f>IF($A182="","",'Процессы'!S182)</f>
        <v/>
      </c>
      <c r="Q182" s="23" t="str">
        <f>IF($A182="","",IF(COUNTA('Процессы'!B182,'Процессы'!E182,'Процессы'!F182,'Процессы'!H182,'Процессы'!I182,'Процессы'!J182,'Процессы'!M182,'Процессы'!O182,'Процессы'!P182,'Процессы'!R182,'Процессы'!S182)=11,"Готово","Есть пробелы"))</f>
        <v/>
      </c>
      <c r="R182" s="23" t="str">
        <f t="array" ref="R182">IF($A182="","",IFERROR(INDEX('Диаграммы'!$A$5:$A$104,MATCH($A182,'Диаграммы'!$B$5:$B$104,0)),"не настроена"))</f>
        <v/>
      </c>
      <c r="S182" s="23" t="str">
        <f t="array" ref="S182">IF(OR($A182="",$R182="не настроена"),"",IFERROR(INDEX('Диаграммы'!$M$5:$M$104,MATCH($R182,'Диаграммы'!$A$5:$A$104,0)),""))</f>
        <v/>
      </c>
      <c r="T182" s="23" t="str">
        <f t="array" ref="T182">IF(OR($A182="",$R182="не настроена"),"",IFERROR(HYPERLINK(INDEX('Диаграммы'!$O$5:$O$104,MATCH($R182,'Диаграммы'!$A$5:$A$104,0)),"открыть"),""))</f>
        <v/>
      </c>
    </row>
    <row r="183" ht="15.75" customHeight="1">
      <c r="A183" s="23" t="str">
        <f>IF('Процессы'!A183="","",'Процессы'!A183)</f>
        <v/>
      </c>
      <c r="B183" s="23" t="str">
        <f t="array" ref="B183">IF($A183="","",IFERROR(INDEX('Система'!$B$5:$B$14,MATCH('Процессы'!B183,'Система'!$A$5:$A$14,0)),"⚠ ID системы"))</f>
        <v/>
      </c>
      <c r="C183" s="23" t="str">
        <f>IF($A183="","",'Процессы'!C183)</f>
        <v/>
      </c>
      <c r="D183" s="23" t="str">
        <f>IF($A183="","",'Процессы'!E183)</f>
        <v/>
      </c>
      <c r="E183" s="23" t="str">
        <f>IF($A183="","",'Процессы'!F183)</f>
        <v/>
      </c>
      <c r="F183" s="23" t="str">
        <f>IF($A183="","",'Процессы'!H183)</f>
        <v/>
      </c>
      <c r="G183" s="23" t="str">
        <f>IF($A183="","",'Процессы'!I183)</f>
        <v/>
      </c>
      <c r="H183" s="23" t="str">
        <f>IF($A183="","",'Процессы'!J183)</f>
        <v/>
      </c>
      <c r="I183" s="23" t="str">
        <f t="array" ref="I183">IF($A183="","",IFERROR(INDEX('Позиции'!$C$5:$C$204,MATCH('Процессы'!M183,'Позиции'!$A$5:$A$204,0)),"⚠ ID позиции"))</f>
        <v/>
      </c>
      <c r="J183" s="23" t="str">
        <f>IF($A183="","",COUNTIF('Действия'!$B$5:$B$304,$A183))</f>
        <v/>
      </c>
      <c r="K183" s="23" t="str">
        <f>IF($A183="","",COUNTIF('Переходы'!$B$5:$B$304,$A183))</f>
        <v/>
      </c>
      <c r="L183" s="23" t="str">
        <f>IF($A183="","",'Процессы'!O183)</f>
        <v/>
      </c>
      <c r="M183" s="23" t="str">
        <f>IF($A183="","",'Процессы'!P183)</f>
        <v/>
      </c>
      <c r="N183" s="23" t="str">
        <f>IF($A183="","",'Процессы'!Q183)</f>
        <v/>
      </c>
      <c r="O183" s="23" t="str">
        <f>IF($A183="","",'Процессы'!R183)</f>
        <v/>
      </c>
      <c r="P183" s="23" t="str">
        <f>IF($A183="","",'Процессы'!S183)</f>
        <v/>
      </c>
      <c r="Q183" s="23" t="str">
        <f>IF($A183="","",IF(COUNTA('Процессы'!B183,'Процессы'!E183,'Процессы'!F183,'Процессы'!H183,'Процессы'!I183,'Процессы'!J183,'Процессы'!M183,'Процессы'!O183,'Процессы'!P183,'Процессы'!R183,'Процессы'!S183)=11,"Готово","Есть пробелы"))</f>
        <v/>
      </c>
      <c r="R183" s="23" t="str">
        <f t="array" ref="R183">IF($A183="","",IFERROR(INDEX('Диаграммы'!$A$5:$A$104,MATCH($A183,'Диаграммы'!$B$5:$B$104,0)),"не настроена"))</f>
        <v/>
      </c>
      <c r="S183" s="23" t="str">
        <f t="array" ref="S183">IF(OR($A183="",$R183="не настроена"),"",IFERROR(INDEX('Диаграммы'!$M$5:$M$104,MATCH($R183,'Диаграммы'!$A$5:$A$104,0)),""))</f>
        <v/>
      </c>
      <c r="T183" s="23" t="str">
        <f t="array" ref="T183">IF(OR($A183="",$R183="не настроена"),"",IFERROR(HYPERLINK(INDEX('Диаграммы'!$O$5:$O$104,MATCH($R183,'Диаграммы'!$A$5:$A$104,0)),"открыть"),""))</f>
        <v/>
      </c>
    </row>
    <row r="184" ht="15.75" customHeight="1">
      <c r="A184" s="23" t="str">
        <f>IF('Процессы'!A184="","",'Процессы'!A184)</f>
        <v/>
      </c>
      <c r="B184" s="23" t="str">
        <f t="array" ref="B184">IF($A184="","",IFERROR(INDEX('Система'!$B$5:$B$14,MATCH('Процессы'!B184,'Система'!$A$5:$A$14,0)),"⚠ ID системы"))</f>
        <v/>
      </c>
      <c r="C184" s="23" t="str">
        <f>IF($A184="","",'Процессы'!C184)</f>
        <v/>
      </c>
      <c r="D184" s="23" t="str">
        <f>IF($A184="","",'Процессы'!E184)</f>
        <v/>
      </c>
      <c r="E184" s="23" t="str">
        <f>IF($A184="","",'Процессы'!F184)</f>
        <v/>
      </c>
      <c r="F184" s="23" t="str">
        <f>IF($A184="","",'Процессы'!H184)</f>
        <v/>
      </c>
      <c r="G184" s="23" t="str">
        <f>IF($A184="","",'Процессы'!I184)</f>
        <v/>
      </c>
      <c r="H184" s="23" t="str">
        <f>IF($A184="","",'Процессы'!J184)</f>
        <v/>
      </c>
      <c r="I184" s="23" t="str">
        <f t="array" ref="I184">IF($A184="","",IFERROR(INDEX('Позиции'!$C$5:$C$204,MATCH('Процессы'!M184,'Позиции'!$A$5:$A$204,0)),"⚠ ID позиции"))</f>
        <v/>
      </c>
      <c r="J184" s="23" t="str">
        <f>IF($A184="","",COUNTIF('Действия'!$B$5:$B$304,$A184))</f>
        <v/>
      </c>
      <c r="K184" s="23" t="str">
        <f>IF($A184="","",COUNTIF('Переходы'!$B$5:$B$304,$A184))</f>
        <v/>
      </c>
      <c r="L184" s="23" t="str">
        <f>IF($A184="","",'Процессы'!O184)</f>
        <v/>
      </c>
      <c r="M184" s="23" t="str">
        <f>IF($A184="","",'Процессы'!P184)</f>
        <v/>
      </c>
      <c r="N184" s="23" t="str">
        <f>IF($A184="","",'Процессы'!Q184)</f>
        <v/>
      </c>
      <c r="O184" s="23" t="str">
        <f>IF($A184="","",'Процессы'!R184)</f>
        <v/>
      </c>
      <c r="P184" s="23" t="str">
        <f>IF($A184="","",'Процессы'!S184)</f>
        <v/>
      </c>
      <c r="Q184" s="23" t="str">
        <f>IF($A184="","",IF(COUNTA('Процессы'!B184,'Процессы'!E184,'Процессы'!F184,'Процессы'!H184,'Процессы'!I184,'Процессы'!J184,'Процессы'!M184,'Процессы'!O184,'Процессы'!P184,'Процессы'!R184,'Процессы'!S184)=11,"Готово","Есть пробелы"))</f>
        <v/>
      </c>
      <c r="R184" s="23" t="str">
        <f t="array" ref="R184">IF($A184="","",IFERROR(INDEX('Диаграммы'!$A$5:$A$104,MATCH($A184,'Диаграммы'!$B$5:$B$104,0)),"не настроена"))</f>
        <v/>
      </c>
      <c r="S184" s="23" t="str">
        <f t="array" ref="S184">IF(OR($A184="",$R184="не настроена"),"",IFERROR(INDEX('Диаграммы'!$M$5:$M$104,MATCH($R184,'Диаграммы'!$A$5:$A$104,0)),""))</f>
        <v/>
      </c>
      <c r="T184" s="23" t="str">
        <f t="array" ref="T184">IF(OR($A184="",$R184="не настроена"),"",IFERROR(HYPERLINK(INDEX('Диаграммы'!$O$5:$O$104,MATCH($R184,'Диаграммы'!$A$5:$A$104,0)),"открыть"),""))</f>
        <v/>
      </c>
    </row>
    <row r="185" ht="15.75" customHeight="1">
      <c r="A185" s="23" t="str">
        <f>IF('Процессы'!A185="","",'Процессы'!A185)</f>
        <v/>
      </c>
      <c r="B185" s="23" t="str">
        <f t="array" ref="B185">IF($A185="","",IFERROR(INDEX('Система'!$B$5:$B$14,MATCH('Процессы'!B185,'Система'!$A$5:$A$14,0)),"⚠ ID системы"))</f>
        <v/>
      </c>
      <c r="C185" s="23" t="str">
        <f>IF($A185="","",'Процессы'!C185)</f>
        <v/>
      </c>
      <c r="D185" s="23" t="str">
        <f>IF($A185="","",'Процессы'!E185)</f>
        <v/>
      </c>
      <c r="E185" s="23" t="str">
        <f>IF($A185="","",'Процессы'!F185)</f>
        <v/>
      </c>
      <c r="F185" s="23" t="str">
        <f>IF($A185="","",'Процессы'!H185)</f>
        <v/>
      </c>
      <c r="G185" s="23" t="str">
        <f>IF($A185="","",'Процессы'!I185)</f>
        <v/>
      </c>
      <c r="H185" s="23" t="str">
        <f>IF($A185="","",'Процессы'!J185)</f>
        <v/>
      </c>
      <c r="I185" s="23" t="str">
        <f t="array" ref="I185">IF($A185="","",IFERROR(INDEX('Позиции'!$C$5:$C$204,MATCH('Процессы'!M185,'Позиции'!$A$5:$A$204,0)),"⚠ ID позиции"))</f>
        <v/>
      </c>
      <c r="J185" s="23" t="str">
        <f>IF($A185="","",COUNTIF('Действия'!$B$5:$B$304,$A185))</f>
        <v/>
      </c>
      <c r="K185" s="23" t="str">
        <f>IF($A185="","",COUNTIF('Переходы'!$B$5:$B$304,$A185))</f>
        <v/>
      </c>
      <c r="L185" s="23" t="str">
        <f>IF($A185="","",'Процессы'!O185)</f>
        <v/>
      </c>
      <c r="M185" s="23" t="str">
        <f>IF($A185="","",'Процессы'!P185)</f>
        <v/>
      </c>
      <c r="N185" s="23" t="str">
        <f>IF($A185="","",'Процессы'!Q185)</f>
        <v/>
      </c>
      <c r="O185" s="23" t="str">
        <f>IF($A185="","",'Процессы'!R185)</f>
        <v/>
      </c>
      <c r="P185" s="23" t="str">
        <f>IF($A185="","",'Процессы'!S185)</f>
        <v/>
      </c>
      <c r="Q185" s="23" t="str">
        <f>IF($A185="","",IF(COUNTA('Процессы'!B185,'Процессы'!E185,'Процессы'!F185,'Процессы'!H185,'Процессы'!I185,'Процессы'!J185,'Процессы'!M185,'Процессы'!O185,'Процессы'!P185,'Процессы'!R185,'Процессы'!S185)=11,"Готово","Есть пробелы"))</f>
        <v/>
      </c>
      <c r="R185" s="23" t="str">
        <f t="array" ref="R185">IF($A185="","",IFERROR(INDEX('Диаграммы'!$A$5:$A$104,MATCH($A185,'Диаграммы'!$B$5:$B$104,0)),"не настроена"))</f>
        <v/>
      </c>
      <c r="S185" s="23" t="str">
        <f t="array" ref="S185">IF(OR($A185="",$R185="не настроена"),"",IFERROR(INDEX('Диаграммы'!$M$5:$M$104,MATCH($R185,'Диаграммы'!$A$5:$A$104,0)),""))</f>
        <v/>
      </c>
      <c r="T185" s="23" t="str">
        <f t="array" ref="T185">IF(OR($A185="",$R185="не настроена"),"",IFERROR(HYPERLINK(INDEX('Диаграммы'!$O$5:$O$104,MATCH($R185,'Диаграммы'!$A$5:$A$104,0)),"открыть"),""))</f>
        <v/>
      </c>
    </row>
    <row r="186" ht="15.75" customHeight="1">
      <c r="A186" s="23" t="str">
        <f>IF('Процессы'!A186="","",'Процессы'!A186)</f>
        <v/>
      </c>
      <c r="B186" s="23" t="str">
        <f t="array" ref="B186">IF($A186="","",IFERROR(INDEX('Система'!$B$5:$B$14,MATCH('Процессы'!B186,'Система'!$A$5:$A$14,0)),"⚠ ID системы"))</f>
        <v/>
      </c>
      <c r="C186" s="23" t="str">
        <f>IF($A186="","",'Процессы'!C186)</f>
        <v/>
      </c>
      <c r="D186" s="23" t="str">
        <f>IF($A186="","",'Процессы'!E186)</f>
        <v/>
      </c>
      <c r="E186" s="23" t="str">
        <f>IF($A186="","",'Процессы'!F186)</f>
        <v/>
      </c>
      <c r="F186" s="23" t="str">
        <f>IF($A186="","",'Процессы'!H186)</f>
        <v/>
      </c>
      <c r="G186" s="23" t="str">
        <f>IF($A186="","",'Процессы'!I186)</f>
        <v/>
      </c>
      <c r="H186" s="23" t="str">
        <f>IF($A186="","",'Процессы'!J186)</f>
        <v/>
      </c>
      <c r="I186" s="23" t="str">
        <f t="array" ref="I186">IF($A186="","",IFERROR(INDEX('Позиции'!$C$5:$C$204,MATCH('Процессы'!M186,'Позиции'!$A$5:$A$204,0)),"⚠ ID позиции"))</f>
        <v/>
      </c>
      <c r="J186" s="23" t="str">
        <f>IF($A186="","",COUNTIF('Действия'!$B$5:$B$304,$A186))</f>
        <v/>
      </c>
      <c r="K186" s="23" t="str">
        <f>IF($A186="","",COUNTIF('Переходы'!$B$5:$B$304,$A186))</f>
        <v/>
      </c>
      <c r="L186" s="23" t="str">
        <f>IF($A186="","",'Процессы'!O186)</f>
        <v/>
      </c>
      <c r="M186" s="23" t="str">
        <f>IF($A186="","",'Процессы'!P186)</f>
        <v/>
      </c>
      <c r="N186" s="23" t="str">
        <f>IF($A186="","",'Процессы'!Q186)</f>
        <v/>
      </c>
      <c r="O186" s="23" t="str">
        <f>IF($A186="","",'Процессы'!R186)</f>
        <v/>
      </c>
      <c r="P186" s="23" t="str">
        <f>IF($A186="","",'Процессы'!S186)</f>
        <v/>
      </c>
      <c r="Q186" s="23" t="str">
        <f>IF($A186="","",IF(COUNTA('Процессы'!B186,'Процессы'!E186,'Процессы'!F186,'Процессы'!H186,'Процессы'!I186,'Процессы'!J186,'Процессы'!M186,'Процессы'!O186,'Процессы'!P186,'Процессы'!R186,'Процессы'!S186)=11,"Готово","Есть пробелы"))</f>
        <v/>
      </c>
      <c r="R186" s="23" t="str">
        <f t="array" ref="R186">IF($A186="","",IFERROR(INDEX('Диаграммы'!$A$5:$A$104,MATCH($A186,'Диаграммы'!$B$5:$B$104,0)),"не настроена"))</f>
        <v/>
      </c>
      <c r="S186" s="23" t="str">
        <f t="array" ref="S186">IF(OR($A186="",$R186="не настроена"),"",IFERROR(INDEX('Диаграммы'!$M$5:$M$104,MATCH($R186,'Диаграммы'!$A$5:$A$104,0)),""))</f>
        <v/>
      </c>
      <c r="T186" s="23" t="str">
        <f t="array" ref="T186">IF(OR($A186="",$R186="не настроена"),"",IFERROR(HYPERLINK(INDEX('Диаграммы'!$O$5:$O$104,MATCH($R186,'Диаграммы'!$A$5:$A$104,0)),"открыть"),""))</f>
        <v/>
      </c>
    </row>
    <row r="187" ht="15.75" customHeight="1">
      <c r="A187" s="23" t="str">
        <f>IF('Процессы'!A187="","",'Процессы'!A187)</f>
        <v/>
      </c>
      <c r="B187" s="23" t="str">
        <f t="array" ref="B187">IF($A187="","",IFERROR(INDEX('Система'!$B$5:$B$14,MATCH('Процессы'!B187,'Система'!$A$5:$A$14,0)),"⚠ ID системы"))</f>
        <v/>
      </c>
      <c r="C187" s="23" t="str">
        <f>IF($A187="","",'Процессы'!C187)</f>
        <v/>
      </c>
      <c r="D187" s="23" t="str">
        <f>IF($A187="","",'Процессы'!E187)</f>
        <v/>
      </c>
      <c r="E187" s="23" t="str">
        <f>IF($A187="","",'Процессы'!F187)</f>
        <v/>
      </c>
      <c r="F187" s="23" t="str">
        <f>IF($A187="","",'Процессы'!H187)</f>
        <v/>
      </c>
      <c r="G187" s="23" t="str">
        <f>IF($A187="","",'Процессы'!I187)</f>
        <v/>
      </c>
      <c r="H187" s="23" t="str">
        <f>IF($A187="","",'Процессы'!J187)</f>
        <v/>
      </c>
      <c r="I187" s="23" t="str">
        <f t="array" ref="I187">IF($A187="","",IFERROR(INDEX('Позиции'!$C$5:$C$204,MATCH('Процессы'!M187,'Позиции'!$A$5:$A$204,0)),"⚠ ID позиции"))</f>
        <v/>
      </c>
      <c r="J187" s="23" t="str">
        <f>IF($A187="","",COUNTIF('Действия'!$B$5:$B$304,$A187))</f>
        <v/>
      </c>
      <c r="K187" s="23" t="str">
        <f>IF($A187="","",COUNTIF('Переходы'!$B$5:$B$304,$A187))</f>
        <v/>
      </c>
      <c r="L187" s="23" t="str">
        <f>IF($A187="","",'Процессы'!O187)</f>
        <v/>
      </c>
      <c r="M187" s="23" t="str">
        <f>IF($A187="","",'Процессы'!P187)</f>
        <v/>
      </c>
      <c r="N187" s="23" t="str">
        <f>IF($A187="","",'Процессы'!Q187)</f>
        <v/>
      </c>
      <c r="O187" s="23" t="str">
        <f>IF($A187="","",'Процессы'!R187)</f>
        <v/>
      </c>
      <c r="P187" s="23" t="str">
        <f>IF($A187="","",'Процессы'!S187)</f>
        <v/>
      </c>
      <c r="Q187" s="23" t="str">
        <f>IF($A187="","",IF(COUNTA('Процессы'!B187,'Процессы'!E187,'Процессы'!F187,'Процессы'!H187,'Процессы'!I187,'Процессы'!J187,'Процессы'!M187,'Процессы'!O187,'Процессы'!P187,'Процессы'!R187,'Процессы'!S187)=11,"Готово","Есть пробелы"))</f>
        <v/>
      </c>
      <c r="R187" s="23" t="str">
        <f t="array" ref="R187">IF($A187="","",IFERROR(INDEX('Диаграммы'!$A$5:$A$104,MATCH($A187,'Диаграммы'!$B$5:$B$104,0)),"не настроена"))</f>
        <v/>
      </c>
      <c r="S187" s="23" t="str">
        <f t="array" ref="S187">IF(OR($A187="",$R187="не настроена"),"",IFERROR(INDEX('Диаграммы'!$M$5:$M$104,MATCH($R187,'Диаграммы'!$A$5:$A$104,0)),""))</f>
        <v/>
      </c>
      <c r="T187" s="23" t="str">
        <f t="array" ref="T187">IF(OR($A187="",$R187="не настроена"),"",IFERROR(HYPERLINK(INDEX('Диаграммы'!$O$5:$O$104,MATCH($R187,'Диаграммы'!$A$5:$A$104,0)),"открыть"),""))</f>
        <v/>
      </c>
    </row>
    <row r="188" ht="15.75" customHeight="1">
      <c r="A188" s="23" t="str">
        <f>IF('Процессы'!A188="","",'Процессы'!A188)</f>
        <v/>
      </c>
      <c r="B188" s="23" t="str">
        <f t="array" ref="B188">IF($A188="","",IFERROR(INDEX('Система'!$B$5:$B$14,MATCH('Процессы'!B188,'Система'!$A$5:$A$14,0)),"⚠ ID системы"))</f>
        <v/>
      </c>
      <c r="C188" s="23" t="str">
        <f>IF($A188="","",'Процессы'!C188)</f>
        <v/>
      </c>
      <c r="D188" s="23" t="str">
        <f>IF($A188="","",'Процессы'!E188)</f>
        <v/>
      </c>
      <c r="E188" s="23" t="str">
        <f>IF($A188="","",'Процессы'!F188)</f>
        <v/>
      </c>
      <c r="F188" s="23" t="str">
        <f>IF($A188="","",'Процессы'!H188)</f>
        <v/>
      </c>
      <c r="G188" s="23" t="str">
        <f>IF($A188="","",'Процессы'!I188)</f>
        <v/>
      </c>
      <c r="H188" s="23" t="str">
        <f>IF($A188="","",'Процессы'!J188)</f>
        <v/>
      </c>
      <c r="I188" s="23" t="str">
        <f t="array" ref="I188">IF($A188="","",IFERROR(INDEX('Позиции'!$C$5:$C$204,MATCH('Процессы'!M188,'Позиции'!$A$5:$A$204,0)),"⚠ ID позиции"))</f>
        <v/>
      </c>
      <c r="J188" s="23" t="str">
        <f>IF($A188="","",COUNTIF('Действия'!$B$5:$B$304,$A188))</f>
        <v/>
      </c>
      <c r="K188" s="23" t="str">
        <f>IF($A188="","",COUNTIF('Переходы'!$B$5:$B$304,$A188))</f>
        <v/>
      </c>
      <c r="L188" s="23" t="str">
        <f>IF($A188="","",'Процессы'!O188)</f>
        <v/>
      </c>
      <c r="M188" s="23" t="str">
        <f>IF($A188="","",'Процессы'!P188)</f>
        <v/>
      </c>
      <c r="N188" s="23" t="str">
        <f>IF($A188="","",'Процессы'!Q188)</f>
        <v/>
      </c>
      <c r="O188" s="23" t="str">
        <f>IF($A188="","",'Процессы'!R188)</f>
        <v/>
      </c>
      <c r="P188" s="23" t="str">
        <f>IF($A188="","",'Процессы'!S188)</f>
        <v/>
      </c>
      <c r="Q188" s="23" t="str">
        <f>IF($A188="","",IF(COUNTA('Процессы'!B188,'Процессы'!E188,'Процессы'!F188,'Процессы'!H188,'Процессы'!I188,'Процессы'!J188,'Процессы'!M188,'Процессы'!O188,'Процессы'!P188,'Процессы'!R188,'Процессы'!S188)=11,"Готово","Есть пробелы"))</f>
        <v/>
      </c>
      <c r="R188" s="23" t="str">
        <f t="array" ref="R188">IF($A188="","",IFERROR(INDEX('Диаграммы'!$A$5:$A$104,MATCH($A188,'Диаграммы'!$B$5:$B$104,0)),"не настроена"))</f>
        <v/>
      </c>
      <c r="S188" s="23" t="str">
        <f t="array" ref="S188">IF(OR($A188="",$R188="не настроена"),"",IFERROR(INDEX('Диаграммы'!$M$5:$M$104,MATCH($R188,'Диаграммы'!$A$5:$A$104,0)),""))</f>
        <v/>
      </c>
      <c r="T188" s="23" t="str">
        <f t="array" ref="T188">IF(OR($A188="",$R188="не настроена"),"",IFERROR(HYPERLINK(INDEX('Диаграммы'!$O$5:$O$104,MATCH($R188,'Диаграммы'!$A$5:$A$104,0)),"открыть"),""))</f>
        <v/>
      </c>
    </row>
    <row r="189" ht="15.75" customHeight="1">
      <c r="A189" s="23" t="str">
        <f>IF('Процессы'!A189="","",'Процессы'!A189)</f>
        <v/>
      </c>
      <c r="B189" s="23" t="str">
        <f t="array" ref="B189">IF($A189="","",IFERROR(INDEX('Система'!$B$5:$B$14,MATCH('Процессы'!B189,'Система'!$A$5:$A$14,0)),"⚠ ID системы"))</f>
        <v/>
      </c>
      <c r="C189" s="23" t="str">
        <f>IF($A189="","",'Процессы'!C189)</f>
        <v/>
      </c>
      <c r="D189" s="23" t="str">
        <f>IF($A189="","",'Процессы'!E189)</f>
        <v/>
      </c>
      <c r="E189" s="23" t="str">
        <f>IF($A189="","",'Процессы'!F189)</f>
        <v/>
      </c>
      <c r="F189" s="23" t="str">
        <f>IF($A189="","",'Процессы'!H189)</f>
        <v/>
      </c>
      <c r="G189" s="23" t="str">
        <f>IF($A189="","",'Процессы'!I189)</f>
        <v/>
      </c>
      <c r="H189" s="23" t="str">
        <f>IF($A189="","",'Процессы'!J189)</f>
        <v/>
      </c>
      <c r="I189" s="23" t="str">
        <f t="array" ref="I189">IF($A189="","",IFERROR(INDEX('Позиции'!$C$5:$C$204,MATCH('Процессы'!M189,'Позиции'!$A$5:$A$204,0)),"⚠ ID позиции"))</f>
        <v/>
      </c>
      <c r="J189" s="23" t="str">
        <f>IF($A189="","",COUNTIF('Действия'!$B$5:$B$304,$A189))</f>
        <v/>
      </c>
      <c r="K189" s="23" t="str">
        <f>IF($A189="","",COUNTIF('Переходы'!$B$5:$B$304,$A189))</f>
        <v/>
      </c>
      <c r="L189" s="23" t="str">
        <f>IF($A189="","",'Процессы'!O189)</f>
        <v/>
      </c>
      <c r="M189" s="23" t="str">
        <f>IF($A189="","",'Процессы'!P189)</f>
        <v/>
      </c>
      <c r="N189" s="23" t="str">
        <f>IF($A189="","",'Процессы'!Q189)</f>
        <v/>
      </c>
      <c r="O189" s="23" t="str">
        <f>IF($A189="","",'Процессы'!R189)</f>
        <v/>
      </c>
      <c r="P189" s="23" t="str">
        <f>IF($A189="","",'Процессы'!S189)</f>
        <v/>
      </c>
      <c r="Q189" s="23" t="str">
        <f>IF($A189="","",IF(COUNTA('Процессы'!B189,'Процессы'!E189,'Процессы'!F189,'Процессы'!H189,'Процессы'!I189,'Процессы'!J189,'Процессы'!M189,'Процессы'!O189,'Процессы'!P189,'Процессы'!R189,'Процессы'!S189)=11,"Готово","Есть пробелы"))</f>
        <v/>
      </c>
      <c r="R189" s="23" t="str">
        <f t="array" ref="R189">IF($A189="","",IFERROR(INDEX('Диаграммы'!$A$5:$A$104,MATCH($A189,'Диаграммы'!$B$5:$B$104,0)),"не настроена"))</f>
        <v/>
      </c>
      <c r="S189" s="23" t="str">
        <f t="array" ref="S189">IF(OR($A189="",$R189="не настроена"),"",IFERROR(INDEX('Диаграммы'!$M$5:$M$104,MATCH($R189,'Диаграммы'!$A$5:$A$104,0)),""))</f>
        <v/>
      </c>
      <c r="T189" s="23" t="str">
        <f t="array" ref="T189">IF(OR($A189="",$R189="не настроена"),"",IFERROR(HYPERLINK(INDEX('Диаграммы'!$O$5:$O$104,MATCH($R189,'Диаграммы'!$A$5:$A$104,0)),"открыть"),""))</f>
        <v/>
      </c>
    </row>
    <row r="190" ht="15.75" customHeight="1">
      <c r="A190" s="23" t="str">
        <f>IF('Процессы'!A190="","",'Процессы'!A190)</f>
        <v/>
      </c>
      <c r="B190" s="23" t="str">
        <f t="array" ref="B190">IF($A190="","",IFERROR(INDEX('Система'!$B$5:$B$14,MATCH('Процессы'!B190,'Система'!$A$5:$A$14,0)),"⚠ ID системы"))</f>
        <v/>
      </c>
      <c r="C190" s="23" t="str">
        <f>IF($A190="","",'Процессы'!C190)</f>
        <v/>
      </c>
      <c r="D190" s="23" t="str">
        <f>IF($A190="","",'Процессы'!E190)</f>
        <v/>
      </c>
      <c r="E190" s="23" t="str">
        <f>IF($A190="","",'Процессы'!F190)</f>
        <v/>
      </c>
      <c r="F190" s="23" t="str">
        <f>IF($A190="","",'Процессы'!H190)</f>
        <v/>
      </c>
      <c r="G190" s="23" t="str">
        <f>IF($A190="","",'Процессы'!I190)</f>
        <v/>
      </c>
      <c r="H190" s="23" t="str">
        <f>IF($A190="","",'Процессы'!J190)</f>
        <v/>
      </c>
      <c r="I190" s="23" t="str">
        <f t="array" ref="I190">IF($A190="","",IFERROR(INDEX('Позиции'!$C$5:$C$204,MATCH('Процессы'!M190,'Позиции'!$A$5:$A$204,0)),"⚠ ID позиции"))</f>
        <v/>
      </c>
      <c r="J190" s="23" t="str">
        <f>IF($A190="","",COUNTIF('Действия'!$B$5:$B$304,$A190))</f>
        <v/>
      </c>
      <c r="K190" s="23" t="str">
        <f>IF($A190="","",COUNTIF('Переходы'!$B$5:$B$304,$A190))</f>
        <v/>
      </c>
      <c r="L190" s="23" t="str">
        <f>IF($A190="","",'Процессы'!O190)</f>
        <v/>
      </c>
      <c r="M190" s="23" t="str">
        <f>IF($A190="","",'Процессы'!P190)</f>
        <v/>
      </c>
      <c r="N190" s="23" t="str">
        <f>IF($A190="","",'Процессы'!Q190)</f>
        <v/>
      </c>
      <c r="O190" s="23" t="str">
        <f>IF($A190="","",'Процессы'!R190)</f>
        <v/>
      </c>
      <c r="P190" s="23" t="str">
        <f>IF($A190="","",'Процессы'!S190)</f>
        <v/>
      </c>
      <c r="Q190" s="23" t="str">
        <f>IF($A190="","",IF(COUNTA('Процессы'!B190,'Процессы'!E190,'Процессы'!F190,'Процессы'!H190,'Процессы'!I190,'Процессы'!J190,'Процессы'!M190,'Процессы'!O190,'Процессы'!P190,'Процессы'!R190,'Процессы'!S190)=11,"Готово","Есть пробелы"))</f>
        <v/>
      </c>
      <c r="R190" s="23" t="str">
        <f t="array" ref="R190">IF($A190="","",IFERROR(INDEX('Диаграммы'!$A$5:$A$104,MATCH($A190,'Диаграммы'!$B$5:$B$104,0)),"не настроена"))</f>
        <v/>
      </c>
      <c r="S190" s="23" t="str">
        <f t="array" ref="S190">IF(OR($A190="",$R190="не настроена"),"",IFERROR(INDEX('Диаграммы'!$M$5:$M$104,MATCH($R190,'Диаграммы'!$A$5:$A$104,0)),""))</f>
        <v/>
      </c>
      <c r="T190" s="23" t="str">
        <f t="array" ref="T190">IF(OR($A190="",$R190="не настроена"),"",IFERROR(HYPERLINK(INDEX('Диаграммы'!$O$5:$O$104,MATCH($R190,'Диаграммы'!$A$5:$A$104,0)),"открыть"),""))</f>
        <v/>
      </c>
    </row>
    <row r="191" ht="15.75" customHeight="1">
      <c r="A191" s="23" t="str">
        <f>IF('Процессы'!A191="","",'Процессы'!A191)</f>
        <v/>
      </c>
      <c r="B191" s="23" t="str">
        <f t="array" ref="B191">IF($A191="","",IFERROR(INDEX('Система'!$B$5:$B$14,MATCH('Процессы'!B191,'Система'!$A$5:$A$14,0)),"⚠ ID системы"))</f>
        <v/>
      </c>
      <c r="C191" s="23" t="str">
        <f>IF($A191="","",'Процессы'!C191)</f>
        <v/>
      </c>
      <c r="D191" s="23" t="str">
        <f>IF($A191="","",'Процессы'!E191)</f>
        <v/>
      </c>
      <c r="E191" s="23" t="str">
        <f>IF($A191="","",'Процессы'!F191)</f>
        <v/>
      </c>
      <c r="F191" s="23" t="str">
        <f>IF($A191="","",'Процессы'!H191)</f>
        <v/>
      </c>
      <c r="G191" s="23" t="str">
        <f>IF($A191="","",'Процессы'!I191)</f>
        <v/>
      </c>
      <c r="H191" s="23" t="str">
        <f>IF($A191="","",'Процессы'!J191)</f>
        <v/>
      </c>
      <c r="I191" s="23" t="str">
        <f t="array" ref="I191">IF($A191="","",IFERROR(INDEX('Позиции'!$C$5:$C$204,MATCH('Процессы'!M191,'Позиции'!$A$5:$A$204,0)),"⚠ ID позиции"))</f>
        <v/>
      </c>
      <c r="J191" s="23" t="str">
        <f>IF($A191="","",COUNTIF('Действия'!$B$5:$B$304,$A191))</f>
        <v/>
      </c>
      <c r="K191" s="23" t="str">
        <f>IF($A191="","",COUNTIF('Переходы'!$B$5:$B$304,$A191))</f>
        <v/>
      </c>
      <c r="L191" s="23" t="str">
        <f>IF($A191="","",'Процессы'!O191)</f>
        <v/>
      </c>
      <c r="M191" s="23" t="str">
        <f>IF($A191="","",'Процессы'!P191)</f>
        <v/>
      </c>
      <c r="N191" s="23" t="str">
        <f>IF($A191="","",'Процессы'!Q191)</f>
        <v/>
      </c>
      <c r="O191" s="23" t="str">
        <f>IF($A191="","",'Процессы'!R191)</f>
        <v/>
      </c>
      <c r="P191" s="23" t="str">
        <f>IF($A191="","",'Процессы'!S191)</f>
        <v/>
      </c>
      <c r="Q191" s="23" t="str">
        <f>IF($A191="","",IF(COUNTA('Процессы'!B191,'Процессы'!E191,'Процессы'!F191,'Процессы'!H191,'Процессы'!I191,'Процессы'!J191,'Процессы'!M191,'Процессы'!O191,'Процессы'!P191,'Процессы'!R191,'Процессы'!S191)=11,"Готово","Есть пробелы"))</f>
        <v/>
      </c>
      <c r="R191" s="23" t="str">
        <f t="array" ref="R191">IF($A191="","",IFERROR(INDEX('Диаграммы'!$A$5:$A$104,MATCH($A191,'Диаграммы'!$B$5:$B$104,0)),"не настроена"))</f>
        <v/>
      </c>
      <c r="S191" s="23" t="str">
        <f t="array" ref="S191">IF(OR($A191="",$R191="не настроена"),"",IFERROR(INDEX('Диаграммы'!$M$5:$M$104,MATCH($R191,'Диаграммы'!$A$5:$A$104,0)),""))</f>
        <v/>
      </c>
      <c r="T191" s="23" t="str">
        <f t="array" ref="T191">IF(OR($A191="",$R191="не настроена"),"",IFERROR(HYPERLINK(INDEX('Диаграммы'!$O$5:$O$104,MATCH($R191,'Диаграммы'!$A$5:$A$104,0)),"открыть"),""))</f>
        <v/>
      </c>
    </row>
    <row r="192" ht="15.75" customHeight="1">
      <c r="A192" s="23" t="str">
        <f>IF('Процессы'!A192="","",'Процессы'!A192)</f>
        <v/>
      </c>
      <c r="B192" s="23" t="str">
        <f t="array" ref="B192">IF($A192="","",IFERROR(INDEX('Система'!$B$5:$B$14,MATCH('Процессы'!B192,'Система'!$A$5:$A$14,0)),"⚠ ID системы"))</f>
        <v/>
      </c>
      <c r="C192" s="23" t="str">
        <f>IF($A192="","",'Процессы'!C192)</f>
        <v/>
      </c>
      <c r="D192" s="23" t="str">
        <f>IF($A192="","",'Процессы'!E192)</f>
        <v/>
      </c>
      <c r="E192" s="23" t="str">
        <f>IF($A192="","",'Процессы'!F192)</f>
        <v/>
      </c>
      <c r="F192" s="23" t="str">
        <f>IF($A192="","",'Процессы'!H192)</f>
        <v/>
      </c>
      <c r="G192" s="23" t="str">
        <f>IF($A192="","",'Процессы'!I192)</f>
        <v/>
      </c>
      <c r="H192" s="23" t="str">
        <f>IF($A192="","",'Процессы'!J192)</f>
        <v/>
      </c>
      <c r="I192" s="23" t="str">
        <f t="array" ref="I192">IF($A192="","",IFERROR(INDEX('Позиции'!$C$5:$C$204,MATCH('Процессы'!M192,'Позиции'!$A$5:$A$204,0)),"⚠ ID позиции"))</f>
        <v/>
      </c>
      <c r="J192" s="23" t="str">
        <f>IF($A192="","",COUNTIF('Действия'!$B$5:$B$304,$A192))</f>
        <v/>
      </c>
      <c r="K192" s="23" t="str">
        <f>IF($A192="","",COUNTIF('Переходы'!$B$5:$B$304,$A192))</f>
        <v/>
      </c>
      <c r="L192" s="23" t="str">
        <f>IF($A192="","",'Процессы'!O192)</f>
        <v/>
      </c>
      <c r="M192" s="23" t="str">
        <f>IF($A192="","",'Процессы'!P192)</f>
        <v/>
      </c>
      <c r="N192" s="23" t="str">
        <f>IF($A192="","",'Процессы'!Q192)</f>
        <v/>
      </c>
      <c r="O192" s="23" t="str">
        <f>IF($A192="","",'Процессы'!R192)</f>
        <v/>
      </c>
      <c r="P192" s="23" t="str">
        <f>IF($A192="","",'Процессы'!S192)</f>
        <v/>
      </c>
      <c r="Q192" s="23" t="str">
        <f>IF($A192="","",IF(COUNTA('Процессы'!B192,'Процессы'!E192,'Процессы'!F192,'Процессы'!H192,'Процессы'!I192,'Процессы'!J192,'Процессы'!M192,'Процессы'!O192,'Процессы'!P192,'Процессы'!R192,'Процессы'!S192)=11,"Готово","Есть пробелы"))</f>
        <v/>
      </c>
      <c r="R192" s="23" t="str">
        <f t="array" ref="R192">IF($A192="","",IFERROR(INDEX('Диаграммы'!$A$5:$A$104,MATCH($A192,'Диаграммы'!$B$5:$B$104,0)),"не настроена"))</f>
        <v/>
      </c>
      <c r="S192" s="23" t="str">
        <f t="array" ref="S192">IF(OR($A192="",$R192="не настроена"),"",IFERROR(INDEX('Диаграммы'!$M$5:$M$104,MATCH($R192,'Диаграммы'!$A$5:$A$104,0)),""))</f>
        <v/>
      </c>
      <c r="T192" s="23" t="str">
        <f t="array" ref="T192">IF(OR($A192="",$R192="не настроена"),"",IFERROR(HYPERLINK(INDEX('Диаграммы'!$O$5:$O$104,MATCH($R192,'Диаграммы'!$A$5:$A$104,0)),"открыть"),""))</f>
        <v/>
      </c>
    </row>
    <row r="193" ht="15.75" customHeight="1">
      <c r="A193" s="23" t="str">
        <f>IF('Процессы'!A193="","",'Процессы'!A193)</f>
        <v/>
      </c>
      <c r="B193" s="23" t="str">
        <f t="array" ref="B193">IF($A193="","",IFERROR(INDEX('Система'!$B$5:$B$14,MATCH('Процессы'!B193,'Система'!$A$5:$A$14,0)),"⚠ ID системы"))</f>
        <v/>
      </c>
      <c r="C193" s="23" t="str">
        <f>IF($A193="","",'Процессы'!C193)</f>
        <v/>
      </c>
      <c r="D193" s="23" t="str">
        <f>IF($A193="","",'Процессы'!E193)</f>
        <v/>
      </c>
      <c r="E193" s="23" t="str">
        <f>IF($A193="","",'Процессы'!F193)</f>
        <v/>
      </c>
      <c r="F193" s="23" t="str">
        <f>IF($A193="","",'Процессы'!H193)</f>
        <v/>
      </c>
      <c r="G193" s="23" t="str">
        <f>IF($A193="","",'Процессы'!I193)</f>
        <v/>
      </c>
      <c r="H193" s="23" t="str">
        <f>IF($A193="","",'Процессы'!J193)</f>
        <v/>
      </c>
      <c r="I193" s="23" t="str">
        <f t="array" ref="I193">IF($A193="","",IFERROR(INDEX('Позиции'!$C$5:$C$204,MATCH('Процессы'!M193,'Позиции'!$A$5:$A$204,0)),"⚠ ID позиции"))</f>
        <v/>
      </c>
      <c r="J193" s="23" t="str">
        <f>IF($A193="","",COUNTIF('Действия'!$B$5:$B$304,$A193))</f>
        <v/>
      </c>
      <c r="K193" s="23" t="str">
        <f>IF($A193="","",COUNTIF('Переходы'!$B$5:$B$304,$A193))</f>
        <v/>
      </c>
      <c r="L193" s="23" t="str">
        <f>IF($A193="","",'Процессы'!O193)</f>
        <v/>
      </c>
      <c r="M193" s="23" t="str">
        <f>IF($A193="","",'Процессы'!P193)</f>
        <v/>
      </c>
      <c r="N193" s="23" t="str">
        <f>IF($A193="","",'Процессы'!Q193)</f>
        <v/>
      </c>
      <c r="O193" s="23" t="str">
        <f>IF($A193="","",'Процессы'!R193)</f>
        <v/>
      </c>
      <c r="P193" s="23" t="str">
        <f>IF($A193="","",'Процессы'!S193)</f>
        <v/>
      </c>
      <c r="Q193" s="23" t="str">
        <f>IF($A193="","",IF(COUNTA('Процессы'!B193,'Процессы'!E193,'Процессы'!F193,'Процессы'!H193,'Процессы'!I193,'Процессы'!J193,'Процессы'!M193,'Процессы'!O193,'Процессы'!P193,'Процессы'!R193,'Процессы'!S193)=11,"Готово","Есть пробелы"))</f>
        <v/>
      </c>
      <c r="R193" s="23" t="str">
        <f t="array" ref="R193">IF($A193="","",IFERROR(INDEX('Диаграммы'!$A$5:$A$104,MATCH($A193,'Диаграммы'!$B$5:$B$104,0)),"не настроена"))</f>
        <v/>
      </c>
      <c r="S193" s="23" t="str">
        <f t="array" ref="S193">IF(OR($A193="",$R193="не настроена"),"",IFERROR(INDEX('Диаграммы'!$M$5:$M$104,MATCH($R193,'Диаграммы'!$A$5:$A$104,0)),""))</f>
        <v/>
      </c>
      <c r="T193" s="23" t="str">
        <f t="array" ref="T193">IF(OR($A193="",$R193="не настроена"),"",IFERROR(HYPERLINK(INDEX('Диаграммы'!$O$5:$O$104,MATCH($R193,'Диаграммы'!$A$5:$A$104,0)),"открыть"),""))</f>
        <v/>
      </c>
    </row>
    <row r="194" ht="15.75" customHeight="1">
      <c r="A194" s="23" t="str">
        <f>IF('Процессы'!A194="","",'Процессы'!A194)</f>
        <v/>
      </c>
      <c r="B194" s="23" t="str">
        <f t="array" ref="B194">IF($A194="","",IFERROR(INDEX('Система'!$B$5:$B$14,MATCH('Процессы'!B194,'Система'!$A$5:$A$14,0)),"⚠ ID системы"))</f>
        <v/>
      </c>
      <c r="C194" s="23" t="str">
        <f>IF($A194="","",'Процессы'!C194)</f>
        <v/>
      </c>
      <c r="D194" s="23" t="str">
        <f>IF($A194="","",'Процессы'!E194)</f>
        <v/>
      </c>
      <c r="E194" s="23" t="str">
        <f>IF($A194="","",'Процессы'!F194)</f>
        <v/>
      </c>
      <c r="F194" s="23" t="str">
        <f>IF($A194="","",'Процессы'!H194)</f>
        <v/>
      </c>
      <c r="G194" s="23" t="str">
        <f>IF($A194="","",'Процессы'!I194)</f>
        <v/>
      </c>
      <c r="H194" s="23" t="str">
        <f>IF($A194="","",'Процессы'!J194)</f>
        <v/>
      </c>
      <c r="I194" s="23" t="str">
        <f t="array" ref="I194">IF($A194="","",IFERROR(INDEX('Позиции'!$C$5:$C$204,MATCH('Процессы'!M194,'Позиции'!$A$5:$A$204,0)),"⚠ ID позиции"))</f>
        <v/>
      </c>
      <c r="J194" s="23" t="str">
        <f>IF($A194="","",COUNTIF('Действия'!$B$5:$B$304,$A194))</f>
        <v/>
      </c>
      <c r="K194" s="23" t="str">
        <f>IF($A194="","",COUNTIF('Переходы'!$B$5:$B$304,$A194))</f>
        <v/>
      </c>
      <c r="L194" s="23" t="str">
        <f>IF($A194="","",'Процессы'!O194)</f>
        <v/>
      </c>
      <c r="M194" s="23" t="str">
        <f>IF($A194="","",'Процессы'!P194)</f>
        <v/>
      </c>
      <c r="N194" s="23" t="str">
        <f>IF($A194="","",'Процессы'!Q194)</f>
        <v/>
      </c>
      <c r="O194" s="23" t="str">
        <f>IF($A194="","",'Процессы'!R194)</f>
        <v/>
      </c>
      <c r="P194" s="23" t="str">
        <f>IF($A194="","",'Процессы'!S194)</f>
        <v/>
      </c>
      <c r="Q194" s="23" t="str">
        <f>IF($A194="","",IF(COUNTA('Процессы'!B194,'Процессы'!E194,'Процессы'!F194,'Процессы'!H194,'Процессы'!I194,'Процессы'!J194,'Процессы'!M194,'Процессы'!O194,'Процессы'!P194,'Процессы'!R194,'Процессы'!S194)=11,"Готово","Есть пробелы"))</f>
        <v/>
      </c>
      <c r="R194" s="23" t="str">
        <f t="array" ref="R194">IF($A194="","",IFERROR(INDEX('Диаграммы'!$A$5:$A$104,MATCH($A194,'Диаграммы'!$B$5:$B$104,0)),"не настроена"))</f>
        <v/>
      </c>
      <c r="S194" s="23" t="str">
        <f t="array" ref="S194">IF(OR($A194="",$R194="не настроена"),"",IFERROR(INDEX('Диаграммы'!$M$5:$M$104,MATCH($R194,'Диаграммы'!$A$5:$A$104,0)),""))</f>
        <v/>
      </c>
      <c r="T194" s="23" t="str">
        <f t="array" ref="T194">IF(OR($A194="",$R194="не настроена"),"",IFERROR(HYPERLINK(INDEX('Диаграммы'!$O$5:$O$104,MATCH($R194,'Диаграммы'!$A$5:$A$104,0)),"открыть"),""))</f>
        <v/>
      </c>
    </row>
    <row r="195" ht="15.75" customHeight="1">
      <c r="A195" s="23" t="str">
        <f>IF('Процессы'!A195="","",'Процессы'!A195)</f>
        <v/>
      </c>
      <c r="B195" s="23" t="str">
        <f t="array" ref="B195">IF($A195="","",IFERROR(INDEX('Система'!$B$5:$B$14,MATCH('Процессы'!B195,'Система'!$A$5:$A$14,0)),"⚠ ID системы"))</f>
        <v/>
      </c>
      <c r="C195" s="23" t="str">
        <f>IF($A195="","",'Процессы'!C195)</f>
        <v/>
      </c>
      <c r="D195" s="23" t="str">
        <f>IF($A195="","",'Процессы'!E195)</f>
        <v/>
      </c>
      <c r="E195" s="23" t="str">
        <f>IF($A195="","",'Процессы'!F195)</f>
        <v/>
      </c>
      <c r="F195" s="23" t="str">
        <f>IF($A195="","",'Процессы'!H195)</f>
        <v/>
      </c>
      <c r="G195" s="23" t="str">
        <f>IF($A195="","",'Процессы'!I195)</f>
        <v/>
      </c>
      <c r="H195" s="23" t="str">
        <f>IF($A195="","",'Процессы'!J195)</f>
        <v/>
      </c>
      <c r="I195" s="23" t="str">
        <f t="array" ref="I195">IF($A195="","",IFERROR(INDEX('Позиции'!$C$5:$C$204,MATCH('Процессы'!M195,'Позиции'!$A$5:$A$204,0)),"⚠ ID позиции"))</f>
        <v/>
      </c>
      <c r="J195" s="23" t="str">
        <f>IF($A195="","",COUNTIF('Действия'!$B$5:$B$304,$A195))</f>
        <v/>
      </c>
      <c r="K195" s="23" t="str">
        <f>IF($A195="","",COUNTIF('Переходы'!$B$5:$B$304,$A195))</f>
        <v/>
      </c>
      <c r="L195" s="23" t="str">
        <f>IF($A195="","",'Процессы'!O195)</f>
        <v/>
      </c>
      <c r="M195" s="23" t="str">
        <f>IF($A195="","",'Процессы'!P195)</f>
        <v/>
      </c>
      <c r="N195" s="23" t="str">
        <f>IF($A195="","",'Процессы'!Q195)</f>
        <v/>
      </c>
      <c r="O195" s="23" t="str">
        <f>IF($A195="","",'Процессы'!R195)</f>
        <v/>
      </c>
      <c r="P195" s="23" t="str">
        <f>IF($A195="","",'Процессы'!S195)</f>
        <v/>
      </c>
      <c r="Q195" s="23" t="str">
        <f>IF($A195="","",IF(COUNTA('Процессы'!B195,'Процессы'!E195,'Процессы'!F195,'Процессы'!H195,'Процессы'!I195,'Процессы'!J195,'Процессы'!M195,'Процессы'!O195,'Процессы'!P195,'Процессы'!R195,'Процессы'!S195)=11,"Готово","Есть пробелы"))</f>
        <v/>
      </c>
      <c r="R195" s="23" t="str">
        <f t="array" ref="R195">IF($A195="","",IFERROR(INDEX('Диаграммы'!$A$5:$A$104,MATCH($A195,'Диаграммы'!$B$5:$B$104,0)),"не настроена"))</f>
        <v/>
      </c>
      <c r="S195" s="23" t="str">
        <f t="array" ref="S195">IF(OR($A195="",$R195="не настроена"),"",IFERROR(INDEX('Диаграммы'!$M$5:$M$104,MATCH($R195,'Диаграммы'!$A$5:$A$104,0)),""))</f>
        <v/>
      </c>
      <c r="T195" s="23" t="str">
        <f t="array" ref="T195">IF(OR($A195="",$R195="не настроена"),"",IFERROR(HYPERLINK(INDEX('Диаграммы'!$O$5:$O$104,MATCH($R195,'Диаграммы'!$A$5:$A$104,0)),"открыть"),""))</f>
        <v/>
      </c>
    </row>
    <row r="196" ht="15.75" customHeight="1">
      <c r="A196" s="23" t="str">
        <f>IF('Процессы'!A196="","",'Процессы'!A196)</f>
        <v/>
      </c>
      <c r="B196" s="23" t="str">
        <f t="array" ref="B196">IF($A196="","",IFERROR(INDEX('Система'!$B$5:$B$14,MATCH('Процессы'!B196,'Система'!$A$5:$A$14,0)),"⚠ ID системы"))</f>
        <v/>
      </c>
      <c r="C196" s="23" t="str">
        <f>IF($A196="","",'Процессы'!C196)</f>
        <v/>
      </c>
      <c r="D196" s="23" t="str">
        <f>IF($A196="","",'Процессы'!E196)</f>
        <v/>
      </c>
      <c r="E196" s="23" t="str">
        <f>IF($A196="","",'Процессы'!F196)</f>
        <v/>
      </c>
      <c r="F196" s="23" t="str">
        <f>IF($A196="","",'Процессы'!H196)</f>
        <v/>
      </c>
      <c r="G196" s="23" t="str">
        <f>IF($A196="","",'Процессы'!I196)</f>
        <v/>
      </c>
      <c r="H196" s="23" t="str">
        <f>IF($A196="","",'Процессы'!J196)</f>
        <v/>
      </c>
      <c r="I196" s="23" t="str">
        <f t="array" ref="I196">IF($A196="","",IFERROR(INDEX('Позиции'!$C$5:$C$204,MATCH('Процессы'!M196,'Позиции'!$A$5:$A$204,0)),"⚠ ID позиции"))</f>
        <v/>
      </c>
      <c r="J196" s="23" t="str">
        <f>IF($A196="","",COUNTIF('Действия'!$B$5:$B$304,$A196))</f>
        <v/>
      </c>
      <c r="K196" s="23" t="str">
        <f>IF($A196="","",COUNTIF('Переходы'!$B$5:$B$304,$A196))</f>
        <v/>
      </c>
      <c r="L196" s="23" t="str">
        <f>IF($A196="","",'Процессы'!O196)</f>
        <v/>
      </c>
      <c r="M196" s="23" t="str">
        <f>IF($A196="","",'Процессы'!P196)</f>
        <v/>
      </c>
      <c r="N196" s="23" t="str">
        <f>IF($A196="","",'Процессы'!Q196)</f>
        <v/>
      </c>
      <c r="O196" s="23" t="str">
        <f>IF($A196="","",'Процессы'!R196)</f>
        <v/>
      </c>
      <c r="P196" s="23" t="str">
        <f>IF($A196="","",'Процессы'!S196)</f>
        <v/>
      </c>
      <c r="Q196" s="23" t="str">
        <f>IF($A196="","",IF(COUNTA('Процессы'!B196,'Процессы'!E196,'Процессы'!F196,'Процессы'!H196,'Процессы'!I196,'Процессы'!J196,'Процессы'!M196,'Процессы'!O196,'Процессы'!P196,'Процессы'!R196,'Процессы'!S196)=11,"Готово","Есть пробелы"))</f>
        <v/>
      </c>
      <c r="R196" s="23" t="str">
        <f t="array" ref="R196">IF($A196="","",IFERROR(INDEX('Диаграммы'!$A$5:$A$104,MATCH($A196,'Диаграммы'!$B$5:$B$104,0)),"не настроена"))</f>
        <v/>
      </c>
      <c r="S196" s="23" t="str">
        <f t="array" ref="S196">IF(OR($A196="",$R196="не настроена"),"",IFERROR(INDEX('Диаграммы'!$M$5:$M$104,MATCH($R196,'Диаграммы'!$A$5:$A$104,0)),""))</f>
        <v/>
      </c>
      <c r="T196" s="23" t="str">
        <f t="array" ref="T196">IF(OR($A196="",$R196="не настроена"),"",IFERROR(HYPERLINK(INDEX('Диаграммы'!$O$5:$O$104,MATCH($R196,'Диаграммы'!$A$5:$A$104,0)),"открыть"),""))</f>
        <v/>
      </c>
    </row>
    <row r="197" ht="15.75" customHeight="1">
      <c r="A197" s="23" t="str">
        <f>IF('Процессы'!A197="","",'Процессы'!A197)</f>
        <v/>
      </c>
      <c r="B197" s="23" t="str">
        <f t="array" ref="B197">IF($A197="","",IFERROR(INDEX('Система'!$B$5:$B$14,MATCH('Процессы'!B197,'Система'!$A$5:$A$14,0)),"⚠ ID системы"))</f>
        <v/>
      </c>
      <c r="C197" s="23" t="str">
        <f>IF($A197="","",'Процессы'!C197)</f>
        <v/>
      </c>
      <c r="D197" s="23" t="str">
        <f>IF($A197="","",'Процессы'!E197)</f>
        <v/>
      </c>
      <c r="E197" s="23" t="str">
        <f>IF($A197="","",'Процессы'!F197)</f>
        <v/>
      </c>
      <c r="F197" s="23" t="str">
        <f>IF($A197="","",'Процессы'!H197)</f>
        <v/>
      </c>
      <c r="G197" s="23" t="str">
        <f>IF($A197="","",'Процессы'!I197)</f>
        <v/>
      </c>
      <c r="H197" s="23" t="str">
        <f>IF($A197="","",'Процессы'!J197)</f>
        <v/>
      </c>
      <c r="I197" s="23" t="str">
        <f t="array" ref="I197">IF($A197="","",IFERROR(INDEX('Позиции'!$C$5:$C$204,MATCH('Процессы'!M197,'Позиции'!$A$5:$A$204,0)),"⚠ ID позиции"))</f>
        <v/>
      </c>
      <c r="J197" s="23" t="str">
        <f>IF($A197="","",COUNTIF('Действия'!$B$5:$B$304,$A197))</f>
        <v/>
      </c>
      <c r="K197" s="23" t="str">
        <f>IF($A197="","",COUNTIF('Переходы'!$B$5:$B$304,$A197))</f>
        <v/>
      </c>
      <c r="L197" s="23" t="str">
        <f>IF($A197="","",'Процессы'!O197)</f>
        <v/>
      </c>
      <c r="M197" s="23" t="str">
        <f>IF($A197="","",'Процессы'!P197)</f>
        <v/>
      </c>
      <c r="N197" s="23" t="str">
        <f>IF($A197="","",'Процессы'!Q197)</f>
        <v/>
      </c>
      <c r="O197" s="23" t="str">
        <f>IF($A197="","",'Процессы'!R197)</f>
        <v/>
      </c>
      <c r="P197" s="23" t="str">
        <f>IF($A197="","",'Процессы'!S197)</f>
        <v/>
      </c>
      <c r="Q197" s="23" t="str">
        <f>IF($A197="","",IF(COUNTA('Процессы'!B197,'Процессы'!E197,'Процессы'!F197,'Процессы'!H197,'Процессы'!I197,'Процессы'!J197,'Процессы'!M197,'Процессы'!O197,'Процессы'!P197,'Процессы'!R197,'Процессы'!S197)=11,"Готово","Есть пробелы"))</f>
        <v/>
      </c>
      <c r="R197" s="23" t="str">
        <f t="array" ref="R197">IF($A197="","",IFERROR(INDEX('Диаграммы'!$A$5:$A$104,MATCH($A197,'Диаграммы'!$B$5:$B$104,0)),"не настроена"))</f>
        <v/>
      </c>
      <c r="S197" s="23" t="str">
        <f t="array" ref="S197">IF(OR($A197="",$R197="не настроена"),"",IFERROR(INDEX('Диаграммы'!$M$5:$M$104,MATCH($R197,'Диаграммы'!$A$5:$A$104,0)),""))</f>
        <v/>
      </c>
      <c r="T197" s="23" t="str">
        <f t="array" ref="T197">IF(OR($A197="",$R197="не настроена"),"",IFERROR(HYPERLINK(INDEX('Диаграммы'!$O$5:$O$104,MATCH($R197,'Диаграммы'!$A$5:$A$104,0)),"открыть"),""))</f>
        <v/>
      </c>
    </row>
    <row r="198" ht="15.75" customHeight="1">
      <c r="A198" s="23" t="str">
        <f>IF('Процессы'!A198="","",'Процессы'!A198)</f>
        <v/>
      </c>
      <c r="B198" s="23" t="str">
        <f t="array" ref="B198">IF($A198="","",IFERROR(INDEX('Система'!$B$5:$B$14,MATCH('Процессы'!B198,'Система'!$A$5:$A$14,0)),"⚠ ID системы"))</f>
        <v/>
      </c>
      <c r="C198" s="23" t="str">
        <f>IF($A198="","",'Процессы'!C198)</f>
        <v/>
      </c>
      <c r="D198" s="23" t="str">
        <f>IF($A198="","",'Процессы'!E198)</f>
        <v/>
      </c>
      <c r="E198" s="23" t="str">
        <f>IF($A198="","",'Процессы'!F198)</f>
        <v/>
      </c>
      <c r="F198" s="23" t="str">
        <f>IF($A198="","",'Процессы'!H198)</f>
        <v/>
      </c>
      <c r="G198" s="23" t="str">
        <f>IF($A198="","",'Процессы'!I198)</f>
        <v/>
      </c>
      <c r="H198" s="23" t="str">
        <f>IF($A198="","",'Процессы'!J198)</f>
        <v/>
      </c>
      <c r="I198" s="23" t="str">
        <f t="array" ref="I198">IF($A198="","",IFERROR(INDEX('Позиции'!$C$5:$C$204,MATCH('Процессы'!M198,'Позиции'!$A$5:$A$204,0)),"⚠ ID позиции"))</f>
        <v/>
      </c>
      <c r="J198" s="23" t="str">
        <f>IF($A198="","",COUNTIF('Действия'!$B$5:$B$304,$A198))</f>
        <v/>
      </c>
      <c r="K198" s="23" t="str">
        <f>IF($A198="","",COUNTIF('Переходы'!$B$5:$B$304,$A198))</f>
        <v/>
      </c>
      <c r="L198" s="23" t="str">
        <f>IF($A198="","",'Процессы'!O198)</f>
        <v/>
      </c>
      <c r="M198" s="23" t="str">
        <f>IF($A198="","",'Процессы'!P198)</f>
        <v/>
      </c>
      <c r="N198" s="23" t="str">
        <f>IF($A198="","",'Процессы'!Q198)</f>
        <v/>
      </c>
      <c r="O198" s="23" t="str">
        <f>IF($A198="","",'Процессы'!R198)</f>
        <v/>
      </c>
      <c r="P198" s="23" t="str">
        <f>IF($A198="","",'Процессы'!S198)</f>
        <v/>
      </c>
      <c r="Q198" s="23" t="str">
        <f>IF($A198="","",IF(COUNTA('Процессы'!B198,'Процессы'!E198,'Процессы'!F198,'Процессы'!H198,'Процессы'!I198,'Процессы'!J198,'Процессы'!M198,'Процессы'!O198,'Процессы'!P198,'Процессы'!R198,'Процессы'!S198)=11,"Готово","Есть пробелы"))</f>
        <v/>
      </c>
      <c r="R198" s="23" t="str">
        <f t="array" ref="R198">IF($A198="","",IFERROR(INDEX('Диаграммы'!$A$5:$A$104,MATCH($A198,'Диаграммы'!$B$5:$B$104,0)),"не настроена"))</f>
        <v/>
      </c>
      <c r="S198" s="23" t="str">
        <f t="array" ref="S198">IF(OR($A198="",$R198="не настроена"),"",IFERROR(INDEX('Диаграммы'!$M$5:$M$104,MATCH($R198,'Диаграммы'!$A$5:$A$104,0)),""))</f>
        <v/>
      </c>
      <c r="T198" s="23" t="str">
        <f t="array" ref="T198">IF(OR($A198="",$R198="не настроена"),"",IFERROR(HYPERLINK(INDEX('Диаграммы'!$O$5:$O$104,MATCH($R198,'Диаграммы'!$A$5:$A$104,0)),"открыть"),""))</f>
        <v/>
      </c>
    </row>
    <row r="199" ht="15.75" customHeight="1">
      <c r="A199" s="23" t="str">
        <f>IF('Процессы'!A199="","",'Процессы'!A199)</f>
        <v/>
      </c>
      <c r="B199" s="23" t="str">
        <f t="array" ref="B199">IF($A199="","",IFERROR(INDEX('Система'!$B$5:$B$14,MATCH('Процессы'!B199,'Система'!$A$5:$A$14,0)),"⚠ ID системы"))</f>
        <v/>
      </c>
      <c r="C199" s="23" t="str">
        <f>IF($A199="","",'Процессы'!C199)</f>
        <v/>
      </c>
      <c r="D199" s="23" t="str">
        <f>IF($A199="","",'Процессы'!E199)</f>
        <v/>
      </c>
      <c r="E199" s="23" t="str">
        <f>IF($A199="","",'Процессы'!F199)</f>
        <v/>
      </c>
      <c r="F199" s="23" t="str">
        <f>IF($A199="","",'Процессы'!H199)</f>
        <v/>
      </c>
      <c r="G199" s="23" t="str">
        <f>IF($A199="","",'Процессы'!I199)</f>
        <v/>
      </c>
      <c r="H199" s="23" t="str">
        <f>IF($A199="","",'Процессы'!J199)</f>
        <v/>
      </c>
      <c r="I199" s="23" t="str">
        <f t="array" ref="I199">IF($A199="","",IFERROR(INDEX('Позиции'!$C$5:$C$204,MATCH('Процессы'!M199,'Позиции'!$A$5:$A$204,0)),"⚠ ID позиции"))</f>
        <v/>
      </c>
      <c r="J199" s="23" t="str">
        <f>IF($A199="","",COUNTIF('Действия'!$B$5:$B$304,$A199))</f>
        <v/>
      </c>
      <c r="K199" s="23" t="str">
        <f>IF($A199="","",COUNTIF('Переходы'!$B$5:$B$304,$A199))</f>
        <v/>
      </c>
      <c r="L199" s="23" t="str">
        <f>IF($A199="","",'Процессы'!O199)</f>
        <v/>
      </c>
      <c r="M199" s="23" t="str">
        <f>IF($A199="","",'Процессы'!P199)</f>
        <v/>
      </c>
      <c r="N199" s="23" t="str">
        <f>IF($A199="","",'Процессы'!Q199)</f>
        <v/>
      </c>
      <c r="O199" s="23" t="str">
        <f>IF($A199="","",'Процессы'!R199)</f>
        <v/>
      </c>
      <c r="P199" s="23" t="str">
        <f>IF($A199="","",'Процессы'!S199)</f>
        <v/>
      </c>
      <c r="Q199" s="23" t="str">
        <f>IF($A199="","",IF(COUNTA('Процессы'!B199,'Процессы'!E199,'Процессы'!F199,'Процессы'!H199,'Процессы'!I199,'Процессы'!J199,'Процессы'!M199,'Процессы'!O199,'Процессы'!P199,'Процессы'!R199,'Процессы'!S199)=11,"Готово","Есть пробелы"))</f>
        <v/>
      </c>
      <c r="R199" s="23" t="str">
        <f t="array" ref="R199">IF($A199="","",IFERROR(INDEX('Диаграммы'!$A$5:$A$104,MATCH($A199,'Диаграммы'!$B$5:$B$104,0)),"не настроена"))</f>
        <v/>
      </c>
      <c r="S199" s="23" t="str">
        <f t="array" ref="S199">IF(OR($A199="",$R199="не настроена"),"",IFERROR(INDEX('Диаграммы'!$M$5:$M$104,MATCH($R199,'Диаграммы'!$A$5:$A$104,0)),""))</f>
        <v/>
      </c>
      <c r="T199" s="23" t="str">
        <f t="array" ref="T199">IF(OR($A199="",$R199="не настроена"),"",IFERROR(HYPERLINK(INDEX('Диаграммы'!$O$5:$O$104,MATCH($R199,'Диаграммы'!$A$5:$A$104,0)),"открыть"),""))</f>
        <v/>
      </c>
    </row>
    <row r="200" ht="15.75" customHeight="1">
      <c r="A200" s="23" t="str">
        <f>IF('Процессы'!A200="","",'Процессы'!A200)</f>
        <v/>
      </c>
      <c r="B200" s="23" t="str">
        <f t="array" ref="B200">IF($A200="","",IFERROR(INDEX('Система'!$B$5:$B$14,MATCH('Процессы'!B200,'Система'!$A$5:$A$14,0)),"⚠ ID системы"))</f>
        <v/>
      </c>
      <c r="C200" s="23" t="str">
        <f>IF($A200="","",'Процессы'!C200)</f>
        <v/>
      </c>
      <c r="D200" s="23" t="str">
        <f>IF($A200="","",'Процессы'!E200)</f>
        <v/>
      </c>
      <c r="E200" s="23" t="str">
        <f>IF($A200="","",'Процессы'!F200)</f>
        <v/>
      </c>
      <c r="F200" s="23" t="str">
        <f>IF($A200="","",'Процессы'!H200)</f>
        <v/>
      </c>
      <c r="G200" s="23" t="str">
        <f>IF($A200="","",'Процессы'!I200)</f>
        <v/>
      </c>
      <c r="H200" s="23" t="str">
        <f>IF($A200="","",'Процессы'!J200)</f>
        <v/>
      </c>
      <c r="I200" s="23" t="str">
        <f t="array" ref="I200">IF($A200="","",IFERROR(INDEX('Позиции'!$C$5:$C$204,MATCH('Процессы'!M200,'Позиции'!$A$5:$A$204,0)),"⚠ ID позиции"))</f>
        <v/>
      </c>
      <c r="J200" s="23" t="str">
        <f>IF($A200="","",COUNTIF('Действия'!$B$5:$B$304,$A200))</f>
        <v/>
      </c>
      <c r="K200" s="23" t="str">
        <f>IF($A200="","",COUNTIF('Переходы'!$B$5:$B$304,$A200))</f>
        <v/>
      </c>
      <c r="L200" s="23" t="str">
        <f>IF($A200="","",'Процессы'!O200)</f>
        <v/>
      </c>
      <c r="M200" s="23" t="str">
        <f>IF($A200="","",'Процессы'!P200)</f>
        <v/>
      </c>
      <c r="N200" s="23" t="str">
        <f>IF($A200="","",'Процессы'!Q200)</f>
        <v/>
      </c>
      <c r="O200" s="23" t="str">
        <f>IF($A200="","",'Процессы'!R200)</f>
        <v/>
      </c>
      <c r="P200" s="23" t="str">
        <f>IF($A200="","",'Процессы'!S200)</f>
        <v/>
      </c>
      <c r="Q200" s="23" t="str">
        <f>IF($A200="","",IF(COUNTA('Процессы'!B200,'Процессы'!E200,'Процессы'!F200,'Процессы'!H200,'Процессы'!I200,'Процессы'!J200,'Процессы'!M200,'Процессы'!O200,'Процессы'!P200,'Процессы'!R200,'Процессы'!S200)=11,"Готово","Есть пробелы"))</f>
        <v/>
      </c>
      <c r="R200" s="23" t="str">
        <f t="array" ref="R200">IF($A200="","",IFERROR(INDEX('Диаграммы'!$A$5:$A$104,MATCH($A200,'Диаграммы'!$B$5:$B$104,0)),"не настроена"))</f>
        <v/>
      </c>
      <c r="S200" s="23" t="str">
        <f t="array" ref="S200">IF(OR($A200="",$R200="не настроена"),"",IFERROR(INDEX('Диаграммы'!$M$5:$M$104,MATCH($R200,'Диаграммы'!$A$5:$A$104,0)),""))</f>
        <v/>
      </c>
      <c r="T200" s="23" t="str">
        <f t="array" ref="T200">IF(OR($A200="",$R200="не настроена"),"",IFERROR(HYPERLINK(INDEX('Диаграммы'!$O$5:$O$104,MATCH($R200,'Диаграммы'!$A$5:$A$104,0)),"открыть"),""))</f>
        <v/>
      </c>
    </row>
    <row r="201" ht="15.75" customHeight="1">
      <c r="A201" s="23" t="str">
        <f>IF('Процессы'!A201="","",'Процессы'!A201)</f>
        <v/>
      </c>
      <c r="B201" s="23" t="str">
        <f t="array" ref="B201">IF($A201="","",IFERROR(INDEX('Система'!$B$5:$B$14,MATCH('Процессы'!B201,'Система'!$A$5:$A$14,0)),"⚠ ID системы"))</f>
        <v/>
      </c>
      <c r="C201" s="23" t="str">
        <f>IF($A201="","",'Процессы'!C201)</f>
        <v/>
      </c>
      <c r="D201" s="23" t="str">
        <f>IF($A201="","",'Процессы'!E201)</f>
        <v/>
      </c>
      <c r="E201" s="23" t="str">
        <f>IF($A201="","",'Процессы'!F201)</f>
        <v/>
      </c>
      <c r="F201" s="23" t="str">
        <f>IF($A201="","",'Процессы'!H201)</f>
        <v/>
      </c>
      <c r="G201" s="23" t="str">
        <f>IF($A201="","",'Процессы'!I201)</f>
        <v/>
      </c>
      <c r="H201" s="23" t="str">
        <f>IF($A201="","",'Процессы'!J201)</f>
        <v/>
      </c>
      <c r="I201" s="23" t="str">
        <f t="array" ref="I201">IF($A201="","",IFERROR(INDEX('Позиции'!$C$5:$C$204,MATCH('Процессы'!M201,'Позиции'!$A$5:$A$204,0)),"⚠ ID позиции"))</f>
        <v/>
      </c>
      <c r="J201" s="23" t="str">
        <f>IF($A201="","",COUNTIF('Действия'!$B$5:$B$304,$A201))</f>
        <v/>
      </c>
      <c r="K201" s="23" t="str">
        <f>IF($A201="","",COUNTIF('Переходы'!$B$5:$B$304,$A201))</f>
        <v/>
      </c>
      <c r="L201" s="23" t="str">
        <f>IF($A201="","",'Процессы'!O201)</f>
        <v/>
      </c>
      <c r="M201" s="23" t="str">
        <f>IF($A201="","",'Процессы'!P201)</f>
        <v/>
      </c>
      <c r="N201" s="23" t="str">
        <f>IF($A201="","",'Процессы'!Q201)</f>
        <v/>
      </c>
      <c r="O201" s="23" t="str">
        <f>IF($A201="","",'Процессы'!R201)</f>
        <v/>
      </c>
      <c r="P201" s="23" t="str">
        <f>IF($A201="","",'Процессы'!S201)</f>
        <v/>
      </c>
      <c r="Q201" s="23" t="str">
        <f>IF($A201="","",IF(COUNTA('Процессы'!B201,'Процессы'!E201,'Процессы'!F201,'Процессы'!H201,'Процессы'!I201,'Процессы'!J201,'Процессы'!M201,'Процессы'!O201,'Процессы'!P201,'Процессы'!R201,'Процессы'!S201)=11,"Готово","Есть пробелы"))</f>
        <v/>
      </c>
      <c r="R201" s="23" t="str">
        <f t="array" ref="R201">IF($A201="","",IFERROR(INDEX('Диаграммы'!$A$5:$A$104,MATCH($A201,'Диаграммы'!$B$5:$B$104,0)),"не настроена"))</f>
        <v/>
      </c>
      <c r="S201" s="23" t="str">
        <f t="array" ref="S201">IF(OR($A201="",$R201="не настроена"),"",IFERROR(INDEX('Диаграммы'!$M$5:$M$104,MATCH($R201,'Диаграммы'!$A$5:$A$104,0)),""))</f>
        <v/>
      </c>
      <c r="T201" s="23" t="str">
        <f t="array" ref="T201">IF(OR($A201="",$R201="не настроена"),"",IFERROR(HYPERLINK(INDEX('Диаграммы'!$O$5:$O$104,MATCH($R201,'Диаграммы'!$A$5:$A$104,0)),"открыть"),""))</f>
        <v/>
      </c>
    </row>
    <row r="202" ht="15.75" customHeight="1">
      <c r="A202" s="23" t="str">
        <f>IF('Процессы'!A202="","",'Процессы'!A202)</f>
        <v/>
      </c>
      <c r="B202" s="23" t="str">
        <f t="array" ref="B202">IF($A202="","",IFERROR(INDEX('Система'!$B$5:$B$14,MATCH('Процессы'!B202,'Система'!$A$5:$A$14,0)),"⚠ ID системы"))</f>
        <v/>
      </c>
      <c r="C202" s="23" t="str">
        <f>IF($A202="","",'Процессы'!C202)</f>
        <v/>
      </c>
      <c r="D202" s="23" t="str">
        <f>IF($A202="","",'Процессы'!E202)</f>
        <v/>
      </c>
      <c r="E202" s="23" t="str">
        <f>IF($A202="","",'Процессы'!F202)</f>
        <v/>
      </c>
      <c r="F202" s="23" t="str">
        <f>IF($A202="","",'Процессы'!H202)</f>
        <v/>
      </c>
      <c r="G202" s="23" t="str">
        <f>IF($A202="","",'Процессы'!I202)</f>
        <v/>
      </c>
      <c r="H202" s="23" t="str">
        <f>IF($A202="","",'Процессы'!J202)</f>
        <v/>
      </c>
      <c r="I202" s="23" t="str">
        <f t="array" ref="I202">IF($A202="","",IFERROR(INDEX('Позиции'!$C$5:$C$204,MATCH('Процессы'!M202,'Позиции'!$A$5:$A$204,0)),"⚠ ID позиции"))</f>
        <v/>
      </c>
      <c r="J202" s="23" t="str">
        <f>IF($A202="","",COUNTIF('Действия'!$B$5:$B$304,$A202))</f>
        <v/>
      </c>
      <c r="K202" s="23" t="str">
        <f>IF($A202="","",COUNTIF('Переходы'!$B$5:$B$304,$A202))</f>
        <v/>
      </c>
      <c r="L202" s="23" t="str">
        <f>IF($A202="","",'Процессы'!O202)</f>
        <v/>
      </c>
      <c r="M202" s="23" t="str">
        <f>IF($A202="","",'Процессы'!P202)</f>
        <v/>
      </c>
      <c r="N202" s="23" t="str">
        <f>IF($A202="","",'Процессы'!Q202)</f>
        <v/>
      </c>
      <c r="O202" s="23" t="str">
        <f>IF($A202="","",'Процессы'!R202)</f>
        <v/>
      </c>
      <c r="P202" s="23" t="str">
        <f>IF($A202="","",'Процессы'!S202)</f>
        <v/>
      </c>
      <c r="Q202" s="23" t="str">
        <f>IF($A202="","",IF(COUNTA('Процессы'!B202,'Процессы'!E202,'Процессы'!F202,'Процессы'!H202,'Процессы'!I202,'Процессы'!J202,'Процессы'!M202,'Процессы'!O202,'Процессы'!P202,'Процессы'!R202,'Процессы'!S202)=11,"Готово","Есть пробелы"))</f>
        <v/>
      </c>
      <c r="R202" s="23" t="str">
        <f t="array" ref="R202">IF($A202="","",IFERROR(INDEX('Диаграммы'!$A$5:$A$104,MATCH($A202,'Диаграммы'!$B$5:$B$104,0)),"не настроена"))</f>
        <v/>
      </c>
      <c r="S202" s="23" t="str">
        <f t="array" ref="S202">IF(OR($A202="",$R202="не настроена"),"",IFERROR(INDEX('Диаграммы'!$M$5:$M$104,MATCH($R202,'Диаграммы'!$A$5:$A$104,0)),""))</f>
        <v/>
      </c>
      <c r="T202" s="23" t="str">
        <f t="array" ref="T202">IF(OR($A202="",$R202="не настроена"),"",IFERROR(HYPERLINK(INDEX('Диаграммы'!$O$5:$O$104,MATCH($R202,'Диаграммы'!$A$5:$A$104,0)),"открыть"),""))</f>
        <v/>
      </c>
    </row>
    <row r="203" ht="15.75" customHeight="1">
      <c r="A203" s="23" t="str">
        <f>IF('Процессы'!A203="","",'Процессы'!A203)</f>
        <v/>
      </c>
      <c r="B203" s="23" t="str">
        <f t="array" ref="B203">IF($A203="","",IFERROR(INDEX('Система'!$B$5:$B$14,MATCH('Процессы'!B203,'Система'!$A$5:$A$14,0)),"⚠ ID системы"))</f>
        <v/>
      </c>
      <c r="C203" s="23" t="str">
        <f>IF($A203="","",'Процессы'!C203)</f>
        <v/>
      </c>
      <c r="D203" s="23" t="str">
        <f>IF($A203="","",'Процессы'!E203)</f>
        <v/>
      </c>
      <c r="E203" s="23" t="str">
        <f>IF($A203="","",'Процессы'!F203)</f>
        <v/>
      </c>
      <c r="F203" s="23" t="str">
        <f>IF($A203="","",'Процессы'!H203)</f>
        <v/>
      </c>
      <c r="G203" s="23" t="str">
        <f>IF($A203="","",'Процессы'!I203)</f>
        <v/>
      </c>
      <c r="H203" s="23" t="str">
        <f>IF($A203="","",'Процессы'!J203)</f>
        <v/>
      </c>
      <c r="I203" s="23" t="str">
        <f t="array" ref="I203">IF($A203="","",IFERROR(INDEX('Позиции'!$C$5:$C$204,MATCH('Процессы'!M203,'Позиции'!$A$5:$A$204,0)),"⚠ ID позиции"))</f>
        <v/>
      </c>
      <c r="J203" s="23" t="str">
        <f>IF($A203="","",COUNTIF('Действия'!$B$5:$B$304,$A203))</f>
        <v/>
      </c>
      <c r="K203" s="23" t="str">
        <f>IF($A203="","",COUNTIF('Переходы'!$B$5:$B$304,$A203))</f>
        <v/>
      </c>
      <c r="L203" s="23" t="str">
        <f>IF($A203="","",'Процессы'!O203)</f>
        <v/>
      </c>
      <c r="M203" s="23" t="str">
        <f>IF($A203="","",'Процессы'!P203)</f>
        <v/>
      </c>
      <c r="N203" s="23" t="str">
        <f>IF($A203="","",'Процессы'!Q203)</f>
        <v/>
      </c>
      <c r="O203" s="23" t="str">
        <f>IF($A203="","",'Процессы'!R203)</f>
        <v/>
      </c>
      <c r="P203" s="23" t="str">
        <f>IF($A203="","",'Процессы'!S203)</f>
        <v/>
      </c>
      <c r="Q203" s="23" t="str">
        <f>IF($A203="","",IF(COUNTA('Процессы'!B203,'Процессы'!E203,'Процессы'!F203,'Процессы'!H203,'Процессы'!I203,'Процессы'!J203,'Процессы'!M203,'Процессы'!O203,'Процессы'!P203,'Процессы'!R203,'Процессы'!S203)=11,"Готово","Есть пробелы"))</f>
        <v/>
      </c>
      <c r="R203" s="23" t="str">
        <f t="array" ref="R203">IF($A203="","",IFERROR(INDEX('Диаграммы'!$A$5:$A$104,MATCH($A203,'Диаграммы'!$B$5:$B$104,0)),"не настроена"))</f>
        <v/>
      </c>
      <c r="S203" s="23" t="str">
        <f t="array" ref="S203">IF(OR($A203="",$R203="не настроена"),"",IFERROR(INDEX('Диаграммы'!$M$5:$M$104,MATCH($R203,'Диаграммы'!$A$5:$A$104,0)),""))</f>
        <v/>
      </c>
      <c r="T203" s="23" t="str">
        <f t="array" ref="T203">IF(OR($A203="",$R203="не настроена"),"",IFERROR(HYPERLINK(INDEX('Диаграммы'!$O$5:$O$104,MATCH($R203,'Диаграммы'!$A$5:$A$104,0)),"открыть"),""))</f>
        <v/>
      </c>
    </row>
    <row r="204" ht="15.75" customHeight="1">
      <c r="A204" s="23" t="str">
        <f>IF('Процессы'!A204="","",'Процессы'!A204)</f>
        <v/>
      </c>
      <c r="B204" s="23" t="str">
        <f t="array" ref="B204">IF($A204="","",IFERROR(INDEX('Система'!$B$5:$B$14,MATCH('Процессы'!B204,'Система'!$A$5:$A$14,0)),"⚠ ID системы"))</f>
        <v/>
      </c>
      <c r="C204" s="23" t="str">
        <f>IF($A204="","",'Процессы'!C204)</f>
        <v/>
      </c>
      <c r="D204" s="23" t="str">
        <f>IF($A204="","",'Процессы'!E204)</f>
        <v/>
      </c>
      <c r="E204" s="23" t="str">
        <f>IF($A204="","",'Процессы'!F204)</f>
        <v/>
      </c>
      <c r="F204" s="23" t="str">
        <f>IF($A204="","",'Процессы'!H204)</f>
        <v/>
      </c>
      <c r="G204" s="23" t="str">
        <f>IF($A204="","",'Процессы'!I204)</f>
        <v/>
      </c>
      <c r="H204" s="23" t="str">
        <f>IF($A204="","",'Процессы'!J204)</f>
        <v/>
      </c>
      <c r="I204" s="23" t="str">
        <f t="array" ref="I204">IF($A204="","",IFERROR(INDEX('Позиции'!$C$5:$C$204,MATCH('Процессы'!M204,'Позиции'!$A$5:$A$204,0)),"⚠ ID позиции"))</f>
        <v/>
      </c>
      <c r="J204" s="23" t="str">
        <f>IF($A204="","",COUNTIF('Действия'!$B$5:$B$304,$A204))</f>
        <v/>
      </c>
      <c r="K204" s="23" t="str">
        <f>IF($A204="","",COUNTIF('Переходы'!$B$5:$B$304,$A204))</f>
        <v/>
      </c>
      <c r="L204" s="23" t="str">
        <f>IF($A204="","",'Процессы'!O204)</f>
        <v/>
      </c>
      <c r="M204" s="23" t="str">
        <f>IF($A204="","",'Процессы'!P204)</f>
        <v/>
      </c>
      <c r="N204" s="23" t="str">
        <f>IF($A204="","",'Процессы'!Q204)</f>
        <v/>
      </c>
      <c r="O204" s="23" t="str">
        <f>IF($A204="","",'Процессы'!R204)</f>
        <v/>
      </c>
      <c r="P204" s="23" t="str">
        <f>IF($A204="","",'Процессы'!S204)</f>
        <v/>
      </c>
      <c r="Q204" s="23" t="str">
        <f>IF($A204="","",IF(COUNTA('Процессы'!B204,'Процессы'!E204,'Процессы'!F204,'Процессы'!H204,'Процессы'!I204,'Процессы'!J204,'Процессы'!M204,'Процессы'!O204,'Процессы'!P204,'Процессы'!R204,'Процессы'!S204)=11,"Готово","Есть пробелы"))</f>
        <v/>
      </c>
      <c r="R204" s="23" t="str">
        <f t="array" ref="R204">IF($A204="","",IFERROR(INDEX('Диаграммы'!$A$5:$A$104,MATCH($A204,'Диаграммы'!$B$5:$B$104,0)),"не настроена"))</f>
        <v/>
      </c>
      <c r="S204" s="23" t="str">
        <f t="array" ref="S204">IF(OR($A204="",$R204="не настроена"),"",IFERROR(INDEX('Диаграммы'!$M$5:$M$104,MATCH($R204,'Диаграммы'!$A$5:$A$104,0)),""))</f>
        <v/>
      </c>
      <c r="T204" s="23" t="str">
        <f t="array" ref="T204">IF(OR($A204="",$R204="не настроена"),"",IFERROR(HYPERLINK(INDEX('Диаграммы'!$O$5:$O$104,MATCH($R204,'Диаграммы'!$A$5:$A$104,0)),"открыть"),""))</f>
        <v/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T$204"/>
  <mergeCells count="3">
    <mergeCell ref="A1:T1"/>
    <mergeCell ref="A2:T2"/>
    <mergeCell ref="A3:T3"/>
  </mergeCells>
  <conditionalFormatting sqref="S5:S204">
    <cfRule type="cellIs" dxfId="4" priority="1" stopIfTrue="1" operator="equal">
      <formula>"актуальна"</formula>
    </cfRule>
  </conditionalFormatting>
  <conditionalFormatting sqref="S5:S204">
    <cfRule type="cellIs" dxfId="2" priority="2" stopIfTrue="1" operator="equal">
      <formula>"требует обновления"</formula>
    </cfRule>
  </conditionalFormatting>
  <conditionalFormatting sqref="S5:S204">
    <cfRule type="cellIs" dxfId="0" priority="3" stopIfTrue="1" operator="equal">
      <formula>"не сгенерирована"</formula>
    </cfRule>
  </conditionalFormatting>
  <conditionalFormatting sqref="R5:R204">
    <cfRule type="cellIs" dxfId="2" priority="4" stopIfTrue="1" operator="equal">
      <formula>"не настроена"</formula>
    </cfRule>
  </conditionalFormatting>
  <conditionalFormatting sqref="Q5:T204">
    <cfRule type="cellIs" dxfId="2" priority="5" stopIfTrue="1" operator="equal">
      <formula>"Есть пробелы"</formula>
    </cfRule>
  </conditionalFormatting>
  <conditionalFormatting sqref="Q5:T204">
    <cfRule type="cellIs" dxfId="4" priority="6" stopIfTrue="1" operator="equal">
      <formula>"Готово"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2" width="25.5"/>
    <col customWidth="1" min="3" max="3" width="14.5"/>
    <col customWidth="1" min="4" max="5" width="24.5"/>
    <col customWidth="1" min="6" max="7" width="16.13"/>
    <col customWidth="1" min="8" max="8" width="25.5"/>
    <col customWidth="1" min="9" max="26" width="8.63"/>
  </cols>
  <sheetData>
    <row r="1" ht="25.5" customHeight="1">
      <c r="A1" s="1" t="s">
        <v>682</v>
      </c>
      <c r="B1" s="2"/>
      <c r="C1" s="2"/>
      <c r="D1" s="2"/>
      <c r="E1" s="2"/>
      <c r="F1" s="2"/>
      <c r="G1" s="2"/>
      <c r="H1" s="3"/>
    </row>
    <row r="2" ht="22.5" customHeight="1">
      <c r="A2" s="4" t="s">
        <v>683</v>
      </c>
    </row>
    <row r="3">
      <c r="A3" s="50" t="s">
        <v>16</v>
      </c>
      <c r="B3" s="27" t="s">
        <v>65</v>
      </c>
    </row>
    <row r="4">
      <c r="A4" s="51" t="s">
        <v>684</v>
      </c>
      <c r="B4" s="52" t="str">
        <f t="array" ref="B4">IFERROR(INDEX('Система'!$B$5:$B$14,MATCH($B$3,'Система'!$A$5:$A$14,0)),"")</f>
        <v>Привлечение</v>
      </c>
      <c r="C4" s="2"/>
      <c r="D4" s="2"/>
      <c r="E4" s="2"/>
      <c r="F4" s="2"/>
      <c r="G4" s="2"/>
      <c r="H4" s="3"/>
    </row>
    <row r="5">
      <c r="A5" s="51" t="s">
        <v>685</v>
      </c>
      <c r="B5" s="52" t="str">
        <f t="array" ref="B5">IFERROR(INDEX('Система'!$D$5:$D$14,MATCH($B$3,'Система'!$A$5:$A$14,0)),"")</f>
        <v>Производить потенциального участника, принятого принимающей стороной и переданного в клуб с согласованным пакетом</v>
      </c>
      <c r="C5" s="2"/>
      <c r="D5" s="2"/>
      <c r="E5" s="2"/>
      <c r="F5" s="2"/>
      <c r="G5" s="2"/>
      <c r="H5" s="3"/>
    </row>
    <row r="6">
      <c r="A6" s="51" t="s">
        <v>143</v>
      </c>
      <c r="B6" s="52" t="str">
        <f t="array" ref="B6">IFERROR(INDEX('Система'!$C$18:$C$27,MATCH($B$3,'Система'!$B$18:$B$27,0)),"")</f>
        <v>Потенциальный участник, принятый принимающей стороной и переданный в клуб</v>
      </c>
      <c r="C6" s="2"/>
      <c r="D6" s="2"/>
      <c r="E6" s="2"/>
      <c r="F6" s="2"/>
      <c r="G6" s="2"/>
      <c r="H6" s="3"/>
    </row>
    <row r="7">
      <c r="A7" s="51" t="s">
        <v>687</v>
      </c>
      <c r="B7" s="52" t="str">
        <f t="array" ref="B7">IFERROR(INDEX('Система'!$G$18:$G$27,MATCH($B$3,'Система'!$B$18:$B$27,0)),"")</f>
        <v>Принимающая сторона приняла участника; согласованный пакет передан</v>
      </c>
      <c r="C7" s="2"/>
      <c r="D7" s="2"/>
      <c r="E7" s="2"/>
      <c r="F7" s="2"/>
      <c r="G7" s="2"/>
      <c r="H7" s="3"/>
    </row>
    <row r="8">
      <c r="A8" s="51" t="s">
        <v>688</v>
      </c>
      <c r="B8" s="52" t="str">
        <f t="array" ref="B8">IFERROR(INDEX('Система'!$E$5:$E$14,MATCH($B$3,'Система'!$A$5:$A$14,0)),"не назначена")</f>
        <v/>
      </c>
      <c r="C8" s="2"/>
      <c r="D8" s="2"/>
      <c r="E8" s="2"/>
      <c r="F8" s="2"/>
      <c r="G8" s="2"/>
      <c r="H8" s="3"/>
    </row>
    <row r="9">
      <c r="A9" s="51" t="s">
        <v>689</v>
      </c>
      <c r="B9" s="52" t="str">
        <f t="array" ref="B9">IFERROR(INDEX('Система'!$F$5:$F$14,MATCH($B$3,'Система'!$A$5:$A$14,0)),"не назначена")</f>
        <v/>
      </c>
      <c r="C9" s="2"/>
      <c r="D9" s="2"/>
      <c r="E9" s="2"/>
      <c r="F9" s="2"/>
      <c r="G9" s="2"/>
      <c r="H9" s="3"/>
    </row>
    <row r="10">
      <c r="A10" s="51" t="s">
        <v>690</v>
      </c>
      <c r="B10" s="52" t="str">
        <f t="array" ref="B10">IFERROR(INDEX('Система'!$G$5:$G$14,MATCH($B$3,'Система'!$A$5:$A$14,0)),"")</f>
        <v>принято</v>
      </c>
      <c r="C10" s="2"/>
      <c r="D10" s="2"/>
      <c r="E10" s="2"/>
      <c r="F10" s="2"/>
      <c r="G10" s="2"/>
      <c r="H10" s="3"/>
    </row>
    <row r="12">
      <c r="A12" s="50" t="s">
        <v>147</v>
      </c>
      <c r="B12" s="27"/>
    </row>
    <row r="13">
      <c r="A13" s="51" t="s">
        <v>684</v>
      </c>
      <c r="B13" s="52" t="str">
        <f t="array" ref="B13">IFERROR(INDEX('Процессы'!$E$5:$E$204,MATCH($B$12,'Процессы'!$A$5:$A$204,0)),"")</f>
        <v/>
      </c>
      <c r="C13" s="2"/>
      <c r="D13" s="2"/>
      <c r="E13" s="2"/>
      <c r="F13" s="2"/>
      <c r="G13" s="2"/>
      <c r="H13" s="3"/>
    </row>
    <row r="14">
      <c r="A14" s="51" t="s">
        <v>691</v>
      </c>
      <c r="B14" s="52" t="str">
        <f t="array" ref="B14">IFERROR(INDEX('Процессы'!$F$5:$F$204,MATCH($B$12,'Процессы'!$A$5:$A$204,0)),"")</f>
        <v/>
      </c>
      <c r="C14" s="2"/>
      <c r="D14" s="2"/>
      <c r="E14" s="2"/>
      <c r="F14" s="2"/>
      <c r="G14" s="2"/>
      <c r="H14" s="3"/>
    </row>
    <row r="15">
      <c r="A15" s="51" t="s">
        <v>692</v>
      </c>
      <c r="B15" s="52" t="str">
        <f t="array" ref="B15">IFERROR(INDEX('Процессы'!$H$5:$H$204,MATCH($B$12,'Процессы'!$A$5:$A$204,0)),"")</f>
        <v/>
      </c>
      <c r="C15" s="2"/>
      <c r="D15" s="2"/>
      <c r="E15" s="2"/>
      <c r="F15" s="2"/>
      <c r="G15" s="2"/>
      <c r="H15" s="3"/>
    </row>
    <row r="16">
      <c r="A16" s="51" t="s">
        <v>693</v>
      </c>
      <c r="B16" s="52" t="str">
        <f t="array" ref="B16">IFERROR(INDEX('Процессы'!$I$5:$I$204,MATCH($B$12,'Процессы'!$A$5:$A$204,0)),"")</f>
        <v/>
      </c>
      <c r="C16" s="2"/>
      <c r="D16" s="2"/>
      <c r="E16" s="2"/>
      <c r="F16" s="2"/>
      <c r="G16" s="2"/>
      <c r="H16" s="3"/>
    </row>
    <row r="17">
      <c r="A17" s="51" t="s">
        <v>694</v>
      </c>
      <c r="B17" s="52" t="str">
        <f t="array" ref="B17">IFERROR(INDEX('Процессы'!$J$5:$J$204,MATCH($B$12,'Процессы'!$A$5:$A$204,0)),"")</f>
        <v/>
      </c>
      <c r="C17" s="2"/>
      <c r="D17" s="2"/>
      <c r="E17" s="2"/>
      <c r="F17" s="2"/>
      <c r="G17" s="2"/>
      <c r="H17" s="3"/>
    </row>
    <row r="18">
      <c r="A18" s="51" t="s">
        <v>688</v>
      </c>
      <c r="B18" s="52" t="str">
        <f t="array" ref="B18">IFERROR(INDEX('Процессы'!$M$5:$M$204,MATCH($B$12,'Процессы'!$A$5:$A$204,0)),"")</f>
        <v/>
      </c>
      <c r="C18" s="2"/>
      <c r="D18" s="2"/>
      <c r="E18" s="2"/>
      <c r="F18" s="2"/>
      <c r="G18" s="2"/>
      <c r="H18" s="3"/>
    </row>
    <row r="19">
      <c r="A19" s="51" t="s">
        <v>696</v>
      </c>
      <c r="B19" s="52" t="str">
        <f t="array" ref="B19">IFERROR(INDEX('Процессы'!$O$5:$O$204,MATCH($B$12,'Процессы'!$A$5:$A$204,0)),"")</f>
        <v/>
      </c>
      <c r="C19" s="2"/>
      <c r="D19" s="2"/>
      <c r="E19" s="2"/>
      <c r="F19" s="2"/>
      <c r="G19" s="2"/>
      <c r="H19" s="3"/>
    </row>
    <row r="20">
      <c r="A20" s="51" t="s">
        <v>697</v>
      </c>
      <c r="B20" s="52" t="str">
        <f t="array" ref="B20">IFERROR(INDEX('Процессы'!$P$5:$P$204,MATCH($B$12,'Процессы'!$A$5:$A$204,0)),"")</f>
        <v/>
      </c>
      <c r="C20" s="2"/>
      <c r="D20" s="2"/>
      <c r="E20" s="2"/>
      <c r="F20" s="2"/>
      <c r="G20" s="2"/>
      <c r="H20" s="3"/>
    </row>
    <row r="21" ht="15.75" customHeight="1">
      <c r="A21" s="50" t="s">
        <v>698</v>
      </c>
      <c r="B21" s="27" t="str">
        <f t="array" ref="B21">IFERROR(INDEX('Диаграммы'!$A$5:$A$104,MATCH($B$12,'Диаграммы'!$B$5:$B$104,0)),"не настроена")</f>
        <v>не настроена</v>
      </c>
      <c r="D21" s="50" t="s">
        <v>699</v>
      </c>
      <c r="E21" s="27" t="str">
        <f t="array" ref="E21">IFERROR(INDEX('Диаграммы'!$M$5:$M$104,MATCH($B$21,'Диаграммы'!$A$5:$A$104,0)),"")</f>
        <v/>
      </c>
      <c r="G21" s="50" t="s">
        <v>700</v>
      </c>
      <c r="H21" s="27" t="str">
        <f t="array" ref="H21">IFERROR(HYPERLINK(INDEX('Диаграммы'!$O$5:$O$104,MATCH($B$21,'Диаграммы'!$A$5:$A$104,0)),"открыть"),"—")</f>
        <v>—</v>
      </c>
    </row>
    <row r="22" ht="15.75" customHeight="1">
      <c r="A22" s="8" t="s">
        <v>701</v>
      </c>
      <c r="B22" s="2"/>
      <c r="C22" s="2"/>
      <c r="D22" s="2"/>
      <c r="E22" s="2"/>
      <c r="F22" s="2"/>
      <c r="G22" s="2"/>
      <c r="H22" s="3"/>
    </row>
    <row r="23" ht="39.0" customHeight="1">
      <c r="A23" s="11" t="s">
        <v>647</v>
      </c>
      <c r="B23" s="11" t="s">
        <v>152</v>
      </c>
      <c r="C23" s="11" t="s">
        <v>702</v>
      </c>
      <c r="D23" s="11" t="s">
        <v>693</v>
      </c>
      <c r="E23" s="11" t="s">
        <v>694</v>
      </c>
      <c r="F23" s="11" t="s">
        <v>703</v>
      </c>
      <c r="G23" s="11" t="s">
        <v>704</v>
      </c>
      <c r="H23" s="11" t="s">
        <v>640</v>
      </c>
    </row>
    <row r="24" ht="15.75" customHeight="1">
      <c r="A24" s="23" t="str">
        <f>IFERROR(__xludf.DUMMYFUNCTION("IF($B$12="""","""",IFERROR(FILTER({'Действия'!A5:A304,'Действия'!C5:C304,'Действия'!D5:D304,'Действия'!F5:F304,'Действия'!G5:G304,'Действия'!H5:H304,'Действия'!I5:I304,'Действия'!N5:N304},'Действия'!B5:B304=$B$12),""""))"),""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39.0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>
      <c r="A330" s="44" t="s">
        <v>706</v>
      </c>
      <c r="B330" s="2"/>
      <c r="C330" s="2"/>
      <c r="D330" s="2"/>
      <c r="E330" s="2"/>
      <c r="F330" s="2"/>
      <c r="G330" s="2"/>
      <c r="H330" s="3"/>
    </row>
    <row r="331" ht="15.75" customHeight="1">
      <c r="A331" s="49" t="s">
        <v>647</v>
      </c>
      <c r="B331" s="49" t="s">
        <v>707</v>
      </c>
      <c r="C331" s="49" t="s">
        <v>708</v>
      </c>
      <c r="D331" s="49" t="s">
        <v>709</v>
      </c>
      <c r="E331" s="49" t="s">
        <v>152</v>
      </c>
      <c r="F331" s="49" t="s">
        <v>692</v>
      </c>
      <c r="G331" s="49" t="s">
        <v>710</v>
      </c>
      <c r="H331" s="49" t="s">
        <v>711</v>
      </c>
    </row>
    <row r="332" ht="15.75" customHeight="1">
      <c r="A332" s="23" t="str">
        <f>IFERROR(__xludf.DUMMYFUNCTION("IF($B$12="""","""",IFERROR(FILTER({'Переходы'!A5:A304,'Переходы'!C5:C304,'Переходы'!D5:D304,'Переходы'!E5:E304,'Переходы'!F5:F304,'Переходы'!G5:G304,'Переходы'!H5:H304,'Переходы'!J5:J304},'Переходы'!B5:B304=$B$12),""""))"),"")</f>
        <v/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B18:H18"/>
    <mergeCell ref="B19:H19"/>
    <mergeCell ref="B20:H20"/>
    <mergeCell ref="A22:H22"/>
    <mergeCell ref="A330:H330"/>
    <mergeCell ref="B9:H9"/>
    <mergeCell ref="B10:H10"/>
    <mergeCell ref="B13:H13"/>
    <mergeCell ref="B14:H14"/>
    <mergeCell ref="B15:H15"/>
    <mergeCell ref="B16:H16"/>
    <mergeCell ref="B17:H17"/>
  </mergeCells>
  <dataValidations>
    <dataValidation type="list" allowBlank="1" showInputMessage="1" showErrorMessage="1" prompt="Выберите процесс" sqref="B12">
      <formula1>'Система'!$Y$33:$Y$232</formula1>
    </dataValidation>
    <dataValidation type="list" allowBlank="1" showInputMessage="1" showErrorMessage="1" prompt="Выберите производственную систему" sqref="B3">
      <formula1>'Система'!$W$33:$W$232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5.13"/>
    <col customWidth="1" min="3" max="3" width="26.38"/>
    <col customWidth="1" min="4" max="4" width="18.25"/>
    <col customWidth="1" min="5" max="5" width="20.13"/>
    <col customWidth="1" min="6" max="7" width="16.38"/>
    <col customWidth="1" min="8" max="9" width="14.5"/>
    <col customWidth="1" min="10" max="10" width="18.88"/>
    <col customWidth="1" min="11" max="11" width="18.25"/>
    <col customWidth="1" min="12" max="12" width="18.88"/>
    <col customWidth="1" min="13" max="13" width="17.63"/>
    <col customWidth="1" min="14" max="14" width="23.88"/>
    <col customWidth="1" min="15" max="15" width="27.63"/>
    <col customWidth="1" min="16" max="18" width="15.13"/>
    <col customWidth="1" min="19" max="19" width="27.63"/>
  </cols>
  <sheetData>
    <row r="1" ht="22.5" customHeight="1">
      <c r="A1" s="53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1.5" customHeight="1">
      <c r="A2" s="5" t="s">
        <v>715</v>
      </c>
    </row>
    <row r="3" ht="31.5" customHeight="1">
      <c r="A3" s="43" t="s">
        <v>716</v>
      </c>
    </row>
    <row r="4" ht="43.5" customHeight="1">
      <c r="A4" s="48" t="s">
        <v>717</v>
      </c>
      <c r="B4" s="48" t="s">
        <v>550</v>
      </c>
      <c r="C4" s="48" t="s">
        <v>718</v>
      </c>
      <c r="D4" s="48" t="s">
        <v>719</v>
      </c>
      <c r="E4" s="48" t="s">
        <v>720</v>
      </c>
      <c r="F4" s="48" t="s">
        <v>721</v>
      </c>
      <c r="G4" s="48" t="s">
        <v>722</v>
      </c>
      <c r="H4" s="48" t="s">
        <v>438</v>
      </c>
      <c r="I4" s="48" t="s">
        <v>545</v>
      </c>
      <c r="J4" s="48" t="s">
        <v>723</v>
      </c>
      <c r="K4" s="54" t="s">
        <v>724</v>
      </c>
      <c r="L4" s="47" t="s">
        <v>725</v>
      </c>
      <c r="M4" s="54" t="s">
        <v>726</v>
      </c>
      <c r="N4" s="47" t="s">
        <v>727</v>
      </c>
      <c r="O4" s="47" t="s">
        <v>728</v>
      </c>
      <c r="P4" s="48" t="s">
        <v>38</v>
      </c>
      <c r="Q4" s="48" t="s">
        <v>40</v>
      </c>
      <c r="R4" s="47" t="s">
        <v>44</v>
      </c>
      <c r="S4" s="47" t="s">
        <v>52</v>
      </c>
    </row>
    <row r="5">
      <c r="A5" s="23"/>
      <c r="B5" s="23"/>
      <c r="D5" s="23"/>
      <c r="E5" s="23"/>
      <c r="F5" s="23"/>
      <c r="G5" s="23"/>
      <c r="H5" s="23"/>
      <c r="I5" s="23"/>
      <c r="J5" s="23"/>
      <c r="K5" s="55" t="str">
        <f>IFERROR(__xludf.DUMMYFUNCTION("IF($A5="""","""",MAX(IFERROR(INDEX('Процессы'!$T$5:$T$204,MATCH($B5,'Процессы'!$A$5:$A$204,0)),0),IFERROR(MAX(FILTER('Действия'!$Q$5:$Q$304,'Действия'!$B$5:$B$304=$B5,'Действия'!$L$5:$L$304=$H5,'Действия'!$M$5:$M$304=$I5)),0),IFERROR(MAX(FILTER('Связи дей"&amp;"ствий'!$U$5:$U$304,'Связи действий'!$B$5:$B$304=$B5,'Связи действий'!$O$5:$O$304=$H5,'Связи действий'!$P$5:$P$304=$I5)),0)))"),"")</f>
        <v/>
      </c>
      <c r="L5" s="55"/>
      <c r="M5" s="23" t="str">
        <f t="shared" ref="M5:M104" si="1">IF($A5="","",IF($L5="","не сгенерирована",IF($L5&gt;=$K5,"актуальна","требует обновления")))</f>
        <v/>
      </c>
      <c r="P5" s="23"/>
      <c r="Q5" s="58"/>
      <c r="R5" s="58"/>
    </row>
    <row r="6">
      <c r="A6" s="23"/>
      <c r="B6" s="23"/>
      <c r="D6" s="23"/>
      <c r="E6" s="23"/>
      <c r="F6" s="23"/>
      <c r="G6" s="23"/>
      <c r="H6" s="23"/>
      <c r="I6" s="23"/>
      <c r="J6" s="23"/>
      <c r="K6" s="55" t="str">
        <f>IFERROR(__xludf.DUMMYFUNCTION("IF($A6="""","""",MAX(IFERROR(INDEX('Процессы'!$T$5:$T$204,MATCH($B6,'Процессы'!$A$5:$A$204,0)),0),IFERROR(MAX(FILTER('Действия'!$Q$5:$Q$304,'Действия'!$B$5:$B$304=$B6,'Действия'!$L$5:$L$304=$H6,'Действия'!$M$5:$M$304=$I6)),0),IFERROR(MAX(FILTER('Связи дей"&amp;"ствий'!$U$5:$U$304,'Связи действий'!$B$5:$B$304=$B6,'Связи действий'!$O$5:$O$304=$H6,'Связи действий'!$P$5:$P$304=$I6)),0)))"),"")</f>
        <v/>
      </c>
      <c r="L6" s="55"/>
      <c r="M6" s="23" t="str">
        <f t="shared" si="1"/>
        <v/>
      </c>
      <c r="P6" s="23"/>
      <c r="Q6" s="58"/>
      <c r="R6" s="58"/>
    </row>
    <row r="7">
      <c r="A7" s="23"/>
      <c r="B7" s="23"/>
      <c r="D7" s="23"/>
      <c r="E7" s="23"/>
      <c r="F7" s="23"/>
      <c r="G7" s="23"/>
      <c r="H7" s="23"/>
      <c r="I7" s="23"/>
      <c r="J7" s="23"/>
      <c r="K7" s="55" t="str">
        <f>IFERROR(__xludf.DUMMYFUNCTION("IF($A7="""","""",MAX(IFERROR(INDEX('Процессы'!$T$5:$T$204,MATCH($B7,'Процессы'!$A$5:$A$204,0)),0),IFERROR(MAX(FILTER('Действия'!$Q$5:$Q$304,'Действия'!$B$5:$B$304=$B7,'Действия'!$L$5:$L$304=$H7,'Действия'!$M$5:$M$304=$I7)),0),IFERROR(MAX(FILTER('Связи дей"&amp;"ствий'!$U$5:$U$304,'Связи действий'!$B$5:$B$304=$B7,'Связи действий'!$O$5:$O$304=$H7,'Связи действий'!$P$5:$P$304=$I7)),0)))"),"")</f>
        <v/>
      </c>
      <c r="L7" s="55"/>
      <c r="M7" s="23" t="str">
        <f t="shared" si="1"/>
        <v/>
      </c>
      <c r="P7" s="23"/>
      <c r="Q7" s="58"/>
      <c r="R7" s="58"/>
    </row>
    <row r="8">
      <c r="A8" s="23"/>
      <c r="B8" s="23"/>
      <c r="D8" s="23"/>
      <c r="E8" s="23"/>
      <c r="F8" s="23"/>
      <c r="G8" s="23"/>
      <c r="H8" s="23"/>
      <c r="I8" s="23"/>
      <c r="J8" s="23"/>
      <c r="K8" s="55" t="str">
        <f>IFERROR(__xludf.DUMMYFUNCTION("IF($A8="""","""",MAX(IFERROR(INDEX('Процессы'!$T$5:$T$204,MATCH($B8,'Процессы'!$A$5:$A$204,0)),0),IFERROR(MAX(FILTER('Действия'!$Q$5:$Q$304,'Действия'!$B$5:$B$304=$B8,'Действия'!$L$5:$L$304=$H8,'Действия'!$M$5:$M$304=$I8)),0),IFERROR(MAX(FILTER('Связи дей"&amp;"ствий'!$U$5:$U$304,'Связи действий'!$B$5:$B$304=$B8,'Связи действий'!$O$5:$O$304=$H8,'Связи действий'!$P$5:$P$304=$I8)),0)))"),"")</f>
        <v/>
      </c>
      <c r="L8" s="55"/>
      <c r="M8" s="23" t="str">
        <f t="shared" si="1"/>
        <v/>
      </c>
      <c r="P8" s="23"/>
      <c r="Q8" s="58"/>
      <c r="R8" s="58"/>
    </row>
    <row r="9">
      <c r="A9" s="23"/>
      <c r="B9" s="23"/>
      <c r="D9" s="23"/>
      <c r="E9" s="23"/>
      <c r="F9" s="23"/>
      <c r="G9" s="23"/>
      <c r="H9" s="23"/>
      <c r="I9" s="23"/>
      <c r="J9" s="23"/>
      <c r="K9" s="55" t="str">
        <f>IFERROR(__xludf.DUMMYFUNCTION("IF($A9="""","""",MAX(IFERROR(INDEX('Процессы'!$T$5:$T$204,MATCH($B9,'Процессы'!$A$5:$A$204,0)),0),IFERROR(MAX(FILTER('Действия'!$Q$5:$Q$304,'Действия'!$B$5:$B$304=$B9,'Действия'!$L$5:$L$304=$H9,'Действия'!$M$5:$M$304=$I9)),0),IFERROR(MAX(FILTER('Связи дей"&amp;"ствий'!$U$5:$U$304,'Связи действий'!$B$5:$B$304=$B9,'Связи действий'!$O$5:$O$304=$H9,'Связи действий'!$P$5:$P$304=$I9)),0)))"),"")</f>
        <v/>
      </c>
      <c r="L9" s="55"/>
      <c r="M9" s="23" t="str">
        <f t="shared" si="1"/>
        <v/>
      </c>
      <c r="P9" s="23"/>
      <c r="Q9" s="58"/>
      <c r="R9" s="58"/>
    </row>
    <row r="10">
      <c r="A10" s="23"/>
      <c r="B10" s="23"/>
      <c r="D10" s="23"/>
      <c r="E10" s="23"/>
      <c r="F10" s="23"/>
      <c r="G10" s="23"/>
      <c r="H10" s="23"/>
      <c r="I10" s="23"/>
      <c r="J10" s="23"/>
      <c r="K10" s="55" t="str">
        <f>IFERROR(__xludf.DUMMYFUNCTION("IF($A10="""","""",MAX(IFERROR(INDEX('Процессы'!$T$5:$T$204,MATCH($B10,'Процессы'!$A$5:$A$204,0)),0),IFERROR(MAX(FILTER('Действия'!$Q$5:$Q$304,'Действия'!$B$5:$B$304=$B10,'Действия'!$L$5:$L$304=$H10,'Действия'!$M$5:$M$304=$I10)),0),IFERROR(MAX(FILTER('Связ"&amp;"и действий'!$U$5:$U$304,'Связи действий'!$B$5:$B$304=$B10,'Связи действий'!$O$5:$O$304=$H10,'Связи действий'!$P$5:$P$304=$I10)),0)))"),"")</f>
        <v/>
      </c>
      <c r="L10" s="55"/>
      <c r="M10" s="23" t="str">
        <f t="shared" si="1"/>
        <v/>
      </c>
      <c r="P10" s="23"/>
      <c r="Q10" s="58"/>
      <c r="R10" s="58"/>
    </row>
    <row r="11">
      <c r="A11" s="23"/>
      <c r="B11" s="23"/>
      <c r="D11" s="23"/>
      <c r="E11" s="23"/>
      <c r="F11" s="23"/>
      <c r="G11" s="23"/>
      <c r="H11" s="23"/>
      <c r="I11" s="23"/>
      <c r="J11" s="23"/>
      <c r="K11" s="55" t="str">
        <f>IFERROR(__xludf.DUMMYFUNCTION("IF($A11="""","""",MAX(IFERROR(INDEX('Процессы'!$T$5:$T$204,MATCH($B11,'Процессы'!$A$5:$A$204,0)),0),IFERROR(MAX(FILTER('Действия'!$Q$5:$Q$304,'Действия'!$B$5:$B$304=$B11,'Действия'!$L$5:$L$304=$H11,'Действия'!$M$5:$M$304=$I11)),0),IFERROR(MAX(FILTER('Связ"&amp;"и действий'!$U$5:$U$304,'Связи действий'!$B$5:$B$304=$B11,'Связи действий'!$O$5:$O$304=$H11,'Связи действий'!$P$5:$P$304=$I11)),0)))"),"")</f>
        <v/>
      </c>
      <c r="L11" s="55"/>
      <c r="M11" s="23" t="str">
        <f t="shared" si="1"/>
        <v/>
      </c>
      <c r="P11" s="23"/>
      <c r="Q11" s="58"/>
      <c r="R11" s="58"/>
    </row>
    <row r="12">
      <c r="A12" s="23"/>
      <c r="B12" s="23"/>
      <c r="D12" s="23"/>
      <c r="E12" s="23"/>
      <c r="F12" s="23"/>
      <c r="G12" s="23"/>
      <c r="H12" s="23"/>
      <c r="I12" s="23"/>
      <c r="J12" s="23"/>
      <c r="K12" s="55" t="str">
        <f>IFERROR(__xludf.DUMMYFUNCTION("IF($A12="""","""",MAX(IFERROR(INDEX('Процессы'!$T$5:$T$204,MATCH($B12,'Процессы'!$A$5:$A$204,0)),0),IFERROR(MAX(FILTER('Действия'!$Q$5:$Q$304,'Действия'!$B$5:$B$304=$B12,'Действия'!$L$5:$L$304=$H12,'Действия'!$M$5:$M$304=$I12)),0),IFERROR(MAX(FILTER('Связ"&amp;"и действий'!$U$5:$U$304,'Связи действий'!$B$5:$B$304=$B12,'Связи действий'!$O$5:$O$304=$H12,'Связи действий'!$P$5:$P$304=$I12)),0)))"),"")</f>
        <v/>
      </c>
      <c r="L12" s="55"/>
      <c r="M12" s="23" t="str">
        <f t="shared" si="1"/>
        <v/>
      </c>
      <c r="P12" s="23"/>
      <c r="Q12" s="58"/>
      <c r="R12" s="58"/>
    </row>
    <row r="13">
      <c r="A13" s="23"/>
      <c r="B13" s="23"/>
      <c r="D13" s="23"/>
      <c r="E13" s="23"/>
      <c r="F13" s="23"/>
      <c r="G13" s="23"/>
      <c r="H13" s="23"/>
      <c r="I13" s="23"/>
      <c r="J13" s="23"/>
      <c r="K13" s="55" t="str">
        <f>IFERROR(__xludf.DUMMYFUNCTION("IF($A13="""","""",MAX(IFERROR(INDEX('Процессы'!$T$5:$T$204,MATCH($B13,'Процессы'!$A$5:$A$204,0)),0),IFERROR(MAX(FILTER('Действия'!$Q$5:$Q$304,'Действия'!$B$5:$B$304=$B13,'Действия'!$L$5:$L$304=$H13,'Действия'!$M$5:$M$304=$I13)),0),IFERROR(MAX(FILTER('Связ"&amp;"и действий'!$U$5:$U$304,'Связи действий'!$B$5:$B$304=$B13,'Связи действий'!$O$5:$O$304=$H13,'Связи действий'!$P$5:$P$304=$I13)),0)))"),"")</f>
        <v/>
      </c>
      <c r="L13" s="55"/>
      <c r="M13" s="23" t="str">
        <f t="shared" si="1"/>
        <v/>
      </c>
      <c r="P13" s="23"/>
      <c r="Q13" s="58"/>
      <c r="R13" s="58"/>
    </row>
    <row r="14">
      <c r="A14" s="23"/>
      <c r="B14" s="23"/>
      <c r="D14" s="23"/>
      <c r="E14" s="23"/>
      <c r="F14" s="23"/>
      <c r="G14" s="23"/>
      <c r="H14" s="23"/>
      <c r="I14" s="23"/>
      <c r="J14" s="23"/>
      <c r="K14" s="55" t="str">
        <f>IFERROR(__xludf.DUMMYFUNCTION("IF($A14="""","""",MAX(IFERROR(INDEX('Процессы'!$T$5:$T$204,MATCH($B14,'Процессы'!$A$5:$A$204,0)),0),IFERROR(MAX(FILTER('Действия'!$Q$5:$Q$304,'Действия'!$B$5:$B$304=$B14,'Действия'!$L$5:$L$304=$H14,'Действия'!$M$5:$M$304=$I14)),0),IFERROR(MAX(FILTER('Связ"&amp;"и действий'!$U$5:$U$304,'Связи действий'!$B$5:$B$304=$B14,'Связи действий'!$O$5:$O$304=$H14,'Связи действий'!$P$5:$P$304=$I14)),0)))"),"")</f>
        <v/>
      </c>
      <c r="L14" s="55"/>
      <c r="M14" s="23" t="str">
        <f t="shared" si="1"/>
        <v/>
      </c>
      <c r="P14" s="23"/>
      <c r="Q14" s="58"/>
      <c r="R14" s="58"/>
    </row>
    <row r="15">
      <c r="A15" s="23"/>
      <c r="B15" s="23"/>
      <c r="D15" s="23"/>
      <c r="E15" s="23"/>
      <c r="F15" s="23"/>
      <c r="G15" s="23"/>
      <c r="H15" s="23"/>
      <c r="I15" s="23"/>
      <c r="J15" s="23"/>
      <c r="K15" s="55" t="str">
        <f>IFERROR(__xludf.DUMMYFUNCTION("IF($A15="""","""",MAX(IFERROR(INDEX('Процессы'!$T$5:$T$204,MATCH($B15,'Процессы'!$A$5:$A$204,0)),0),IFERROR(MAX(FILTER('Действия'!$Q$5:$Q$304,'Действия'!$B$5:$B$304=$B15,'Действия'!$L$5:$L$304=$H15,'Действия'!$M$5:$M$304=$I15)),0),IFERROR(MAX(FILTER('Связ"&amp;"и действий'!$U$5:$U$304,'Связи действий'!$B$5:$B$304=$B15,'Связи действий'!$O$5:$O$304=$H15,'Связи действий'!$P$5:$P$304=$I15)),0)))"),"")</f>
        <v/>
      </c>
      <c r="L15" s="55"/>
      <c r="M15" s="23" t="str">
        <f t="shared" si="1"/>
        <v/>
      </c>
      <c r="P15" s="23"/>
      <c r="Q15" s="58"/>
      <c r="R15" s="58"/>
    </row>
    <row r="16">
      <c r="A16" s="23"/>
      <c r="B16" s="23"/>
      <c r="D16" s="23"/>
      <c r="E16" s="23"/>
      <c r="F16" s="23"/>
      <c r="G16" s="23"/>
      <c r="H16" s="23"/>
      <c r="I16" s="23"/>
      <c r="J16" s="23"/>
      <c r="K16" s="55" t="str">
        <f>IFERROR(__xludf.DUMMYFUNCTION("IF($A16="""","""",MAX(IFERROR(INDEX('Процессы'!$T$5:$T$204,MATCH($B16,'Процессы'!$A$5:$A$204,0)),0),IFERROR(MAX(FILTER('Действия'!$Q$5:$Q$304,'Действия'!$B$5:$B$304=$B16,'Действия'!$L$5:$L$304=$H16,'Действия'!$M$5:$M$304=$I16)),0),IFERROR(MAX(FILTER('Связ"&amp;"и действий'!$U$5:$U$304,'Связи действий'!$B$5:$B$304=$B16,'Связи действий'!$O$5:$O$304=$H16,'Связи действий'!$P$5:$P$304=$I16)),0)))"),"")</f>
        <v/>
      </c>
      <c r="L16" s="55"/>
      <c r="M16" s="23" t="str">
        <f t="shared" si="1"/>
        <v/>
      </c>
      <c r="P16" s="23"/>
      <c r="Q16" s="58"/>
      <c r="R16" s="58"/>
    </row>
    <row r="17">
      <c r="A17" s="23"/>
      <c r="B17" s="23"/>
      <c r="D17" s="23"/>
      <c r="E17" s="23"/>
      <c r="F17" s="23"/>
      <c r="G17" s="23"/>
      <c r="H17" s="23"/>
      <c r="I17" s="23"/>
      <c r="J17" s="23"/>
      <c r="K17" s="55" t="str">
        <f>IFERROR(__xludf.DUMMYFUNCTION("IF($A17="""","""",MAX(IFERROR(INDEX('Процессы'!$T$5:$T$204,MATCH($B17,'Процессы'!$A$5:$A$204,0)),0),IFERROR(MAX(FILTER('Действия'!$Q$5:$Q$304,'Действия'!$B$5:$B$304=$B17,'Действия'!$L$5:$L$304=$H17,'Действия'!$M$5:$M$304=$I17)),0),IFERROR(MAX(FILTER('Связ"&amp;"и действий'!$U$5:$U$304,'Связи действий'!$B$5:$B$304=$B17,'Связи действий'!$O$5:$O$304=$H17,'Связи действий'!$P$5:$P$304=$I17)),0)))"),"")</f>
        <v/>
      </c>
      <c r="L17" s="55"/>
      <c r="M17" s="23" t="str">
        <f t="shared" si="1"/>
        <v/>
      </c>
      <c r="P17" s="23"/>
      <c r="Q17" s="58"/>
      <c r="R17" s="58"/>
    </row>
    <row r="18">
      <c r="A18" s="23"/>
      <c r="B18" s="23"/>
      <c r="D18" s="23"/>
      <c r="E18" s="23"/>
      <c r="F18" s="23"/>
      <c r="G18" s="23"/>
      <c r="H18" s="23"/>
      <c r="I18" s="23"/>
      <c r="J18" s="23"/>
      <c r="K18" s="55" t="str">
        <f>IFERROR(__xludf.DUMMYFUNCTION("IF($A18="""","""",MAX(IFERROR(INDEX('Процессы'!$T$5:$T$204,MATCH($B18,'Процессы'!$A$5:$A$204,0)),0),IFERROR(MAX(FILTER('Действия'!$Q$5:$Q$304,'Действия'!$B$5:$B$304=$B18,'Действия'!$L$5:$L$304=$H18,'Действия'!$M$5:$M$304=$I18)),0),IFERROR(MAX(FILTER('Связ"&amp;"и действий'!$U$5:$U$304,'Связи действий'!$B$5:$B$304=$B18,'Связи действий'!$O$5:$O$304=$H18,'Связи действий'!$P$5:$P$304=$I18)),0)))"),"")</f>
        <v/>
      </c>
      <c r="L18" s="55"/>
      <c r="M18" s="23" t="str">
        <f t="shared" si="1"/>
        <v/>
      </c>
      <c r="P18" s="23"/>
      <c r="Q18" s="58"/>
      <c r="R18" s="58"/>
    </row>
    <row r="19">
      <c r="A19" s="23"/>
      <c r="B19" s="23"/>
      <c r="D19" s="23"/>
      <c r="E19" s="23"/>
      <c r="F19" s="23"/>
      <c r="G19" s="23"/>
      <c r="H19" s="23"/>
      <c r="I19" s="23"/>
      <c r="J19" s="23"/>
      <c r="K19" s="55" t="str">
        <f>IFERROR(__xludf.DUMMYFUNCTION("IF($A19="""","""",MAX(IFERROR(INDEX('Процессы'!$T$5:$T$204,MATCH($B19,'Процессы'!$A$5:$A$204,0)),0),IFERROR(MAX(FILTER('Действия'!$Q$5:$Q$304,'Действия'!$B$5:$B$304=$B19,'Действия'!$L$5:$L$304=$H19,'Действия'!$M$5:$M$304=$I19)),0),IFERROR(MAX(FILTER('Связ"&amp;"и действий'!$U$5:$U$304,'Связи действий'!$B$5:$B$304=$B19,'Связи действий'!$O$5:$O$304=$H19,'Связи действий'!$P$5:$P$304=$I19)),0)))"),"")</f>
        <v/>
      </c>
      <c r="L19" s="55"/>
      <c r="M19" s="23" t="str">
        <f t="shared" si="1"/>
        <v/>
      </c>
      <c r="P19" s="23"/>
      <c r="Q19" s="58"/>
      <c r="R19" s="58"/>
    </row>
    <row r="20">
      <c r="A20" s="23"/>
      <c r="B20" s="23"/>
      <c r="D20" s="23"/>
      <c r="E20" s="23"/>
      <c r="F20" s="23"/>
      <c r="G20" s="23"/>
      <c r="H20" s="23"/>
      <c r="I20" s="23"/>
      <c r="J20" s="23"/>
      <c r="K20" s="55" t="str">
        <f>IFERROR(__xludf.DUMMYFUNCTION("IF($A20="""","""",MAX(IFERROR(INDEX('Процессы'!$T$5:$T$204,MATCH($B20,'Процессы'!$A$5:$A$204,0)),0),IFERROR(MAX(FILTER('Действия'!$Q$5:$Q$304,'Действия'!$B$5:$B$304=$B20,'Действия'!$L$5:$L$304=$H20,'Действия'!$M$5:$M$304=$I20)),0),IFERROR(MAX(FILTER('Связ"&amp;"и действий'!$U$5:$U$304,'Связи действий'!$B$5:$B$304=$B20,'Связи действий'!$O$5:$O$304=$H20,'Связи действий'!$P$5:$P$304=$I20)),0)))"),"")</f>
        <v/>
      </c>
      <c r="L20" s="55"/>
      <c r="M20" s="23" t="str">
        <f t="shared" si="1"/>
        <v/>
      </c>
      <c r="P20" s="23"/>
      <c r="Q20" s="58"/>
      <c r="R20" s="58"/>
    </row>
    <row r="21">
      <c r="A21" s="23"/>
      <c r="B21" s="23"/>
      <c r="D21" s="23"/>
      <c r="E21" s="23"/>
      <c r="F21" s="23"/>
      <c r="G21" s="23"/>
      <c r="H21" s="23"/>
      <c r="I21" s="23"/>
      <c r="J21" s="23"/>
      <c r="K21" s="55" t="str">
        <f>IFERROR(__xludf.DUMMYFUNCTION("IF($A21="""","""",MAX(IFERROR(INDEX('Процессы'!$T$5:$T$204,MATCH($B21,'Процессы'!$A$5:$A$204,0)),0),IFERROR(MAX(FILTER('Действия'!$Q$5:$Q$304,'Действия'!$B$5:$B$304=$B21,'Действия'!$L$5:$L$304=$H21,'Действия'!$M$5:$M$304=$I21)),0),IFERROR(MAX(FILTER('Связ"&amp;"и действий'!$U$5:$U$304,'Связи действий'!$B$5:$B$304=$B21,'Связи действий'!$O$5:$O$304=$H21,'Связи действий'!$P$5:$P$304=$I21)),0)))"),"")</f>
        <v/>
      </c>
      <c r="L21" s="55"/>
      <c r="M21" s="23" t="str">
        <f t="shared" si="1"/>
        <v/>
      </c>
      <c r="P21" s="23"/>
      <c r="Q21" s="58"/>
      <c r="R21" s="58"/>
    </row>
    <row r="22">
      <c r="A22" s="23"/>
      <c r="B22" s="23"/>
      <c r="D22" s="23"/>
      <c r="E22" s="23"/>
      <c r="F22" s="23"/>
      <c r="G22" s="23"/>
      <c r="H22" s="23"/>
      <c r="I22" s="23"/>
      <c r="J22" s="23"/>
      <c r="K22" s="55" t="str">
        <f>IFERROR(__xludf.DUMMYFUNCTION("IF($A22="""","""",MAX(IFERROR(INDEX('Процессы'!$T$5:$T$204,MATCH($B22,'Процессы'!$A$5:$A$204,0)),0),IFERROR(MAX(FILTER('Действия'!$Q$5:$Q$304,'Действия'!$B$5:$B$304=$B22,'Действия'!$L$5:$L$304=$H22,'Действия'!$M$5:$M$304=$I22)),0),IFERROR(MAX(FILTER('Связ"&amp;"и действий'!$U$5:$U$304,'Связи действий'!$B$5:$B$304=$B22,'Связи действий'!$O$5:$O$304=$H22,'Связи действий'!$P$5:$P$304=$I22)),0)))"),"")</f>
        <v/>
      </c>
      <c r="L22" s="55"/>
      <c r="M22" s="23" t="str">
        <f t="shared" si="1"/>
        <v/>
      </c>
      <c r="P22" s="23"/>
      <c r="Q22" s="58"/>
      <c r="R22" s="58"/>
    </row>
    <row r="23">
      <c r="A23" s="23"/>
      <c r="B23" s="23"/>
      <c r="D23" s="23"/>
      <c r="E23" s="23"/>
      <c r="F23" s="23"/>
      <c r="G23" s="23"/>
      <c r="H23" s="23"/>
      <c r="I23" s="23"/>
      <c r="J23" s="23"/>
      <c r="K23" s="55" t="str">
        <f>IFERROR(__xludf.DUMMYFUNCTION("IF($A23="""","""",MAX(IFERROR(INDEX('Процессы'!$T$5:$T$204,MATCH($B23,'Процессы'!$A$5:$A$204,0)),0),IFERROR(MAX(FILTER('Действия'!$Q$5:$Q$304,'Действия'!$B$5:$B$304=$B23,'Действия'!$L$5:$L$304=$H23,'Действия'!$M$5:$M$304=$I23)),0),IFERROR(MAX(FILTER('Связ"&amp;"и действий'!$U$5:$U$304,'Связи действий'!$B$5:$B$304=$B23,'Связи действий'!$O$5:$O$304=$H23,'Связи действий'!$P$5:$P$304=$I23)),0)))"),"")</f>
        <v/>
      </c>
      <c r="L23" s="55"/>
      <c r="M23" s="23" t="str">
        <f t="shared" si="1"/>
        <v/>
      </c>
      <c r="P23" s="23"/>
      <c r="Q23" s="58"/>
      <c r="R23" s="58"/>
    </row>
    <row r="24">
      <c r="A24" s="23"/>
      <c r="B24" s="23"/>
      <c r="D24" s="23"/>
      <c r="E24" s="23"/>
      <c r="F24" s="23"/>
      <c r="G24" s="23"/>
      <c r="H24" s="23"/>
      <c r="I24" s="23"/>
      <c r="J24" s="23"/>
      <c r="K24" s="55" t="str">
        <f>IFERROR(__xludf.DUMMYFUNCTION("IF($A24="""","""",MAX(IFERROR(INDEX('Процессы'!$T$5:$T$204,MATCH($B24,'Процессы'!$A$5:$A$204,0)),0),IFERROR(MAX(FILTER('Действия'!$Q$5:$Q$304,'Действия'!$B$5:$B$304=$B24,'Действия'!$L$5:$L$304=$H24,'Действия'!$M$5:$M$304=$I24)),0),IFERROR(MAX(FILTER('Связ"&amp;"и действий'!$U$5:$U$304,'Связи действий'!$B$5:$B$304=$B24,'Связи действий'!$O$5:$O$304=$H24,'Связи действий'!$P$5:$P$304=$I24)),0)))"),"")</f>
        <v/>
      </c>
      <c r="L24" s="55"/>
      <c r="M24" s="23" t="str">
        <f t="shared" si="1"/>
        <v/>
      </c>
      <c r="P24" s="23"/>
      <c r="Q24" s="58"/>
      <c r="R24" s="58"/>
    </row>
    <row r="25">
      <c r="A25" s="23"/>
      <c r="B25" s="23"/>
      <c r="D25" s="23"/>
      <c r="E25" s="23"/>
      <c r="F25" s="23"/>
      <c r="G25" s="23"/>
      <c r="H25" s="23"/>
      <c r="I25" s="23"/>
      <c r="J25" s="23"/>
      <c r="K25" s="55" t="str">
        <f>IFERROR(__xludf.DUMMYFUNCTION("IF($A25="""","""",MAX(IFERROR(INDEX('Процессы'!$T$5:$T$204,MATCH($B25,'Процессы'!$A$5:$A$204,0)),0),IFERROR(MAX(FILTER('Действия'!$Q$5:$Q$304,'Действия'!$B$5:$B$304=$B25,'Действия'!$L$5:$L$304=$H25,'Действия'!$M$5:$M$304=$I25)),0),IFERROR(MAX(FILTER('Связ"&amp;"и действий'!$U$5:$U$304,'Связи действий'!$B$5:$B$304=$B25,'Связи действий'!$O$5:$O$304=$H25,'Связи действий'!$P$5:$P$304=$I25)),0)))"),"")</f>
        <v/>
      </c>
      <c r="L25" s="55"/>
      <c r="M25" s="23" t="str">
        <f t="shared" si="1"/>
        <v/>
      </c>
      <c r="P25" s="23"/>
      <c r="Q25" s="58"/>
      <c r="R25" s="58"/>
    </row>
    <row r="26">
      <c r="A26" s="23"/>
      <c r="B26" s="23"/>
      <c r="D26" s="23"/>
      <c r="E26" s="23"/>
      <c r="F26" s="23"/>
      <c r="G26" s="23"/>
      <c r="H26" s="23"/>
      <c r="I26" s="23"/>
      <c r="J26" s="23"/>
      <c r="K26" s="55" t="str">
        <f>IFERROR(__xludf.DUMMYFUNCTION("IF($A26="""","""",MAX(IFERROR(INDEX('Процессы'!$T$5:$T$204,MATCH($B26,'Процессы'!$A$5:$A$204,0)),0),IFERROR(MAX(FILTER('Действия'!$Q$5:$Q$304,'Действия'!$B$5:$B$304=$B26,'Действия'!$L$5:$L$304=$H26,'Действия'!$M$5:$M$304=$I26)),0),IFERROR(MAX(FILTER('Связ"&amp;"и действий'!$U$5:$U$304,'Связи действий'!$B$5:$B$304=$B26,'Связи действий'!$O$5:$O$304=$H26,'Связи действий'!$P$5:$P$304=$I26)),0)))"),"")</f>
        <v/>
      </c>
      <c r="L26" s="55"/>
      <c r="M26" s="23" t="str">
        <f t="shared" si="1"/>
        <v/>
      </c>
      <c r="P26" s="23"/>
      <c r="Q26" s="58"/>
      <c r="R26" s="58"/>
    </row>
    <row r="27">
      <c r="A27" s="23"/>
      <c r="B27" s="23"/>
      <c r="D27" s="23"/>
      <c r="E27" s="23"/>
      <c r="F27" s="23"/>
      <c r="G27" s="23"/>
      <c r="H27" s="23"/>
      <c r="I27" s="23"/>
      <c r="J27" s="23"/>
      <c r="K27" s="55" t="str">
        <f>IFERROR(__xludf.DUMMYFUNCTION("IF($A27="""","""",MAX(IFERROR(INDEX('Процессы'!$T$5:$T$204,MATCH($B27,'Процессы'!$A$5:$A$204,0)),0),IFERROR(MAX(FILTER('Действия'!$Q$5:$Q$304,'Действия'!$B$5:$B$304=$B27,'Действия'!$L$5:$L$304=$H27,'Действия'!$M$5:$M$304=$I27)),0),IFERROR(MAX(FILTER('Связ"&amp;"и действий'!$U$5:$U$304,'Связи действий'!$B$5:$B$304=$B27,'Связи действий'!$O$5:$O$304=$H27,'Связи действий'!$P$5:$P$304=$I27)),0)))"),"")</f>
        <v/>
      </c>
      <c r="L27" s="55"/>
      <c r="M27" s="23" t="str">
        <f t="shared" si="1"/>
        <v/>
      </c>
      <c r="P27" s="23"/>
      <c r="Q27" s="58"/>
      <c r="R27" s="58"/>
    </row>
    <row r="28">
      <c r="A28" s="23"/>
      <c r="B28" s="23"/>
      <c r="D28" s="23"/>
      <c r="E28" s="23"/>
      <c r="F28" s="23"/>
      <c r="G28" s="23"/>
      <c r="H28" s="23"/>
      <c r="I28" s="23"/>
      <c r="J28" s="23"/>
      <c r="K28" s="55" t="str">
        <f>IFERROR(__xludf.DUMMYFUNCTION("IF($A28="""","""",MAX(IFERROR(INDEX('Процессы'!$T$5:$T$204,MATCH($B28,'Процессы'!$A$5:$A$204,0)),0),IFERROR(MAX(FILTER('Действия'!$Q$5:$Q$304,'Действия'!$B$5:$B$304=$B28,'Действия'!$L$5:$L$304=$H28,'Действия'!$M$5:$M$304=$I28)),0),IFERROR(MAX(FILTER('Связ"&amp;"и действий'!$U$5:$U$304,'Связи действий'!$B$5:$B$304=$B28,'Связи действий'!$O$5:$O$304=$H28,'Связи действий'!$P$5:$P$304=$I28)),0)))"),"")</f>
        <v/>
      </c>
      <c r="L28" s="55"/>
      <c r="M28" s="23" t="str">
        <f t="shared" si="1"/>
        <v/>
      </c>
      <c r="P28" s="23"/>
      <c r="Q28" s="58"/>
      <c r="R28" s="58"/>
    </row>
    <row r="29">
      <c r="A29" s="23"/>
      <c r="B29" s="23"/>
      <c r="D29" s="23"/>
      <c r="E29" s="23"/>
      <c r="F29" s="23"/>
      <c r="G29" s="23"/>
      <c r="H29" s="23"/>
      <c r="I29" s="23"/>
      <c r="J29" s="23"/>
      <c r="K29" s="55" t="str">
        <f>IFERROR(__xludf.DUMMYFUNCTION("IF($A29="""","""",MAX(IFERROR(INDEX('Процессы'!$T$5:$T$204,MATCH($B29,'Процессы'!$A$5:$A$204,0)),0),IFERROR(MAX(FILTER('Действия'!$Q$5:$Q$304,'Действия'!$B$5:$B$304=$B29,'Действия'!$L$5:$L$304=$H29,'Действия'!$M$5:$M$304=$I29)),0),IFERROR(MAX(FILTER('Связ"&amp;"и действий'!$U$5:$U$304,'Связи действий'!$B$5:$B$304=$B29,'Связи действий'!$O$5:$O$304=$H29,'Связи действий'!$P$5:$P$304=$I29)),0)))"),"")</f>
        <v/>
      </c>
      <c r="L29" s="55"/>
      <c r="M29" s="23" t="str">
        <f t="shared" si="1"/>
        <v/>
      </c>
      <c r="P29" s="23"/>
      <c r="Q29" s="58"/>
      <c r="R29" s="58"/>
    </row>
    <row r="30">
      <c r="A30" s="23"/>
      <c r="B30" s="23"/>
      <c r="D30" s="23"/>
      <c r="E30" s="23"/>
      <c r="F30" s="23"/>
      <c r="G30" s="23"/>
      <c r="H30" s="23"/>
      <c r="I30" s="23"/>
      <c r="J30" s="23"/>
      <c r="K30" s="55" t="str">
        <f>IFERROR(__xludf.DUMMYFUNCTION("IF($A30="""","""",MAX(IFERROR(INDEX('Процессы'!$T$5:$T$204,MATCH($B30,'Процессы'!$A$5:$A$204,0)),0),IFERROR(MAX(FILTER('Действия'!$Q$5:$Q$304,'Действия'!$B$5:$B$304=$B30,'Действия'!$L$5:$L$304=$H30,'Действия'!$M$5:$M$304=$I30)),0),IFERROR(MAX(FILTER('Связ"&amp;"и действий'!$U$5:$U$304,'Связи действий'!$B$5:$B$304=$B30,'Связи действий'!$O$5:$O$304=$H30,'Связи действий'!$P$5:$P$304=$I30)),0)))"),"")</f>
        <v/>
      </c>
      <c r="L30" s="55"/>
      <c r="M30" s="23" t="str">
        <f t="shared" si="1"/>
        <v/>
      </c>
      <c r="P30" s="23"/>
      <c r="Q30" s="58"/>
      <c r="R30" s="58"/>
    </row>
    <row r="31">
      <c r="A31" s="23"/>
      <c r="B31" s="23"/>
      <c r="D31" s="23"/>
      <c r="E31" s="23"/>
      <c r="F31" s="23"/>
      <c r="G31" s="23"/>
      <c r="H31" s="23"/>
      <c r="I31" s="23"/>
      <c r="J31" s="23"/>
      <c r="K31" s="55" t="str">
        <f>IFERROR(__xludf.DUMMYFUNCTION("IF($A31="""","""",MAX(IFERROR(INDEX('Процессы'!$T$5:$T$204,MATCH($B31,'Процессы'!$A$5:$A$204,0)),0),IFERROR(MAX(FILTER('Действия'!$Q$5:$Q$304,'Действия'!$B$5:$B$304=$B31,'Действия'!$L$5:$L$304=$H31,'Действия'!$M$5:$M$304=$I31)),0),IFERROR(MAX(FILTER('Связ"&amp;"и действий'!$U$5:$U$304,'Связи действий'!$B$5:$B$304=$B31,'Связи действий'!$O$5:$O$304=$H31,'Связи действий'!$P$5:$P$304=$I31)),0)))"),"")</f>
        <v/>
      </c>
      <c r="L31" s="55"/>
      <c r="M31" s="23" t="str">
        <f t="shared" si="1"/>
        <v/>
      </c>
      <c r="P31" s="23"/>
      <c r="Q31" s="58"/>
      <c r="R31" s="58"/>
    </row>
    <row r="32">
      <c r="A32" s="23"/>
      <c r="B32" s="23"/>
      <c r="D32" s="23"/>
      <c r="E32" s="23"/>
      <c r="F32" s="23"/>
      <c r="G32" s="23"/>
      <c r="H32" s="23"/>
      <c r="I32" s="23"/>
      <c r="J32" s="23"/>
      <c r="K32" s="55" t="str">
        <f>IFERROR(__xludf.DUMMYFUNCTION("IF($A32="""","""",MAX(IFERROR(INDEX('Процессы'!$T$5:$T$204,MATCH($B32,'Процессы'!$A$5:$A$204,0)),0),IFERROR(MAX(FILTER('Действия'!$Q$5:$Q$304,'Действия'!$B$5:$B$304=$B32,'Действия'!$L$5:$L$304=$H32,'Действия'!$M$5:$M$304=$I32)),0),IFERROR(MAX(FILTER('Связ"&amp;"и действий'!$U$5:$U$304,'Связи действий'!$B$5:$B$304=$B32,'Связи действий'!$O$5:$O$304=$H32,'Связи действий'!$P$5:$P$304=$I32)),0)))"),"")</f>
        <v/>
      </c>
      <c r="L32" s="55"/>
      <c r="M32" s="23" t="str">
        <f t="shared" si="1"/>
        <v/>
      </c>
      <c r="P32" s="23"/>
      <c r="Q32" s="58"/>
      <c r="R32" s="58"/>
    </row>
    <row r="33">
      <c r="A33" s="23"/>
      <c r="B33" s="23"/>
      <c r="D33" s="23"/>
      <c r="E33" s="23"/>
      <c r="F33" s="23"/>
      <c r="G33" s="23"/>
      <c r="H33" s="23"/>
      <c r="I33" s="23"/>
      <c r="J33" s="23"/>
      <c r="K33" s="55" t="str">
        <f>IFERROR(__xludf.DUMMYFUNCTION("IF($A33="""","""",MAX(IFERROR(INDEX('Процессы'!$T$5:$T$204,MATCH($B33,'Процессы'!$A$5:$A$204,0)),0),IFERROR(MAX(FILTER('Действия'!$Q$5:$Q$304,'Действия'!$B$5:$B$304=$B33,'Действия'!$L$5:$L$304=$H33,'Действия'!$M$5:$M$304=$I33)),0),IFERROR(MAX(FILTER('Связ"&amp;"и действий'!$U$5:$U$304,'Связи действий'!$B$5:$B$304=$B33,'Связи действий'!$O$5:$O$304=$H33,'Связи действий'!$P$5:$P$304=$I33)),0)))"),"")</f>
        <v/>
      </c>
      <c r="L33" s="55"/>
      <c r="M33" s="23" t="str">
        <f t="shared" si="1"/>
        <v/>
      </c>
      <c r="P33" s="23"/>
      <c r="Q33" s="58"/>
      <c r="R33" s="58"/>
    </row>
    <row r="34">
      <c r="A34" s="23"/>
      <c r="B34" s="23"/>
      <c r="D34" s="23"/>
      <c r="E34" s="23"/>
      <c r="F34" s="23"/>
      <c r="G34" s="23"/>
      <c r="H34" s="23"/>
      <c r="I34" s="23"/>
      <c r="J34" s="23"/>
      <c r="K34" s="55" t="str">
        <f>IFERROR(__xludf.DUMMYFUNCTION("IF($A34="""","""",MAX(IFERROR(INDEX('Процессы'!$T$5:$T$204,MATCH($B34,'Процессы'!$A$5:$A$204,0)),0),IFERROR(MAX(FILTER('Действия'!$Q$5:$Q$304,'Действия'!$B$5:$B$304=$B34,'Действия'!$L$5:$L$304=$H34,'Действия'!$M$5:$M$304=$I34)),0),IFERROR(MAX(FILTER('Связ"&amp;"и действий'!$U$5:$U$304,'Связи действий'!$B$5:$B$304=$B34,'Связи действий'!$O$5:$O$304=$H34,'Связи действий'!$P$5:$P$304=$I34)),0)))"),"")</f>
        <v/>
      </c>
      <c r="L34" s="55"/>
      <c r="M34" s="23" t="str">
        <f t="shared" si="1"/>
        <v/>
      </c>
      <c r="P34" s="23"/>
      <c r="Q34" s="58"/>
      <c r="R34" s="58"/>
    </row>
    <row r="35">
      <c r="A35" s="23"/>
      <c r="B35" s="23"/>
      <c r="D35" s="23"/>
      <c r="E35" s="23"/>
      <c r="F35" s="23"/>
      <c r="G35" s="23"/>
      <c r="H35" s="23"/>
      <c r="I35" s="23"/>
      <c r="J35" s="23"/>
      <c r="K35" s="55" t="str">
        <f>IFERROR(__xludf.DUMMYFUNCTION("IF($A35="""","""",MAX(IFERROR(INDEX('Процессы'!$T$5:$T$204,MATCH($B35,'Процессы'!$A$5:$A$204,0)),0),IFERROR(MAX(FILTER('Действия'!$Q$5:$Q$304,'Действия'!$B$5:$B$304=$B35,'Действия'!$L$5:$L$304=$H35,'Действия'!$M$5:$M$304=$I35)),0),IFERROR(MAX(FILTER('Связ"&amp;"и действий'!$U$5:$U$304,'Связи действий'!$B$5:$B$304=$B35,'Связи действий'!$O$5:$O$304=$H35,'Связи действий'!$P$5:$P$304=$I35)),0)))"),"")</f>
        <v/>
      </c>
      <c r="L35" s="55"/>
      <c r="M35" s="23" t="str">
        <f t="shared" si="1"/>
        <v/>
      </c>
      <c r="P35" s="23"/>
      <c r="Q35" s="58"/>
      <c r="R35" s="58"/>
    </row>
    <row r="36">
      <c r="A36" s="23"/>
      <c r="B36" s="23"/>
      <c r="D36" s="23"/>
      <c r="E36" s="23"/>
      <c r="F36" s="23"/>
      <c r="G36" s="23"/>
      <c r="H36" s="23"/>
      <c r="I36" s="23"/>
      <c r="J36" s="23"/>
      <c r="K36" s="55" t="str">
        <f>IFERROR(__xludf.DUMMYFUNCTION("IF($A36="""","""",MAX(IFERROR(INDEX('Процессы'!$T$5:$T$204,MATCH($B36,'Процессы'!$A$5:$A$204,0)),0),IFERROR(MAX(FILTER('Действия'!$Q$5:$Q$304,'Действия'!$B$5:$B$304=$B36,'Действия'!$L$5:$L$304=$H36,'Действия'!$M$5:$M$304=$I36)),0),IFERROR(MAX(FILTER('Связ"&amp;"и действий'!$U$5:$U$304,'Связи действий'!$B$5:$B$304=$B36,'Связи действий'!$O$5:$O$304=$H36,'Связи действий'!$P$5:$P$304=$I36)),0)))"),"")</f>
        <v/>
      </c>
      <c r="L36" s="55"/>
      <c r="M36" s="23" t="str">
        <f t="shared" si="1"/>
        <v/>
      </c>
      <c r="P36" s="23"/>
      <c r="Q36" s="58"/>
      <c r="R36" s="58"/>
    </row>
    <row r="37">
      <c r="A37" s="23"/>
      <c r="B37" s="23"/>
      <c r="D37" s="23"/>
      <c r="E37" s="23"/>
      <c r="F37" s="23"/>
      <c r="G37" s="23"/>
      <c r="H37" s="23"/>
      <c r="I37" s="23"/>
      <c r="J37" s="23"/>
      <c r="K37" s="55" t="str">
        <f>IFERROR(__xludf.DUMMYFUNCTION("IF($A37="""","""",MAX(IFERROR(INDEX('Процессы'!$T$5:$T$204,MATCH($B37,'Процессы'!$A$5:$A$204,0)),0),IFERROR(MAX(FILTER('Действия'!$Q$5:$Q$304,'Действия'!$B$5:$B$304=$B37,'Действия'!$L$5:$L$304=$H37,'Действия'!$M$5:$M$304=$I37)),0),IFERROR(MAX(FILTER('Связ"&amp;"и действий'!$U$5:$U$304,'Связи действий'!$B$5:$B$304=$B37,'Связи действий'!$O$5:$O$304=$H37,'Связи действий'!$P$5:$P$304=$I37)),0)))"),"")</f>
        <v/>
      </c>
      <c r="L37" s="55"/>
      <c r="M37" s="23" t="str">
        <f t="shared" si="1"/>
        <v/>
      </c>
      <c r="P37" s="23"/>
      <c r="Q37" s="58"/>
      <c r="R37" s="58"/>
    </row>
    <row r="38">
      <c r="A38" s="23"/>
      <c r="B38" s="23"/>
      <c r="D38" s="23"/>
      <c r="E38" s="23"/>
      <c r="F38" s="23"/>
      <c r="G38" s="23"/>
      <c r="H38" s="23"/>
      <c r="I38" s="23"/>
      <c r="J38" s="23"/>
      <c r="K38" s="55" t="str">
        <f>IFERROR(__xludf.DUMMYFUNCTION("IF($A38="""","""",MAX(IFERROR(INDEX('Процессы'!$T$5:$T$204,MATCH($B38,'Процессы'!$A$5:$A$204,0)),0),IFERROR(MAX(FILTER('Действия'!$Q$5:$Q$304,'Действия'!$B$5:$B$304=$B38,'Действия'!$L$5:$L$304=$H38,'Действия'!$M$5:$M$304=$I38)),0),IFERROR(MAX(FILTER('Связ"&amp;"и действий'!$U$5:$U$304,'Связи действий'!$B$5:$B$304=$B38,'Связи действий'!$O$5:$O$304=$H38,'Связи действий'!$P$5:$P$304=$I38)),0)))"),"")</f>
        <v/>
      </c>
      <c r="L38" s="55"/>
      <c r="M38" s="23" t="str">
        <f t="shared" si="1"/>
        <v/>
      </c>
      <c r="P38" s="23"/>
      <c r="Q38" s="58"/>
      <c r="R38" s="58"/>
    </row>
    <row r="39">
      <c r="A39" s="23"/>
      <c r="B39" s="23"/>
      <c r="D39" s="23"/>
      <c r="E39" s="23"/>
      <c r="F39" s="23"/>
      <c r="G39" s="23"/>
      <c r="H39" s="23"/>
      <c r="I39" s="23"/>
      <c r="J39" s="23"/>
      <c r="K39" s="55" t="str">
        <f>IFERROR(__xludf.DUMMYFUNCTION("IF($A39="""","""",MAX(IFERROR(INDEX('Процессы'!$T$5:$T$204,MATCH($B39,'Процессы'!$A$5:$A$204,0)),0),IFERROR(MAX(FILTER('Действия'!$Q$5:$Q$304,'Действия'!$B$5:$B$304=$B39,'Действия'!$L$5:$L$304=$H39,'Действия'!$M$5:$M$304=$I39)),0),IFERROR(MAX(FILTER('Связ"&amp;"и действий'!$U$5:$U$304,'Связи действий'!$B$5:$B$304=$B39,'Связи действий'!$O$5:$O$304=$H39,'Связи действий'!$P$5:$P$304=$I39)),0)))"),"")</f>
        <v/>
      </c>
      <c r="L39" s="55"/>
      <c r="M39" s="23" t="str">
        <f t="shared" si="1"/>
        <v/>
      </c>
      <c r="P39" s="23"/>
      <c r="Q39" s="58"/>
      <c r="R39" s="58"/>
    </row>
    <row r="40">
      <c r="A40" s="23"/>
      <c r="B40" s="23"/>
      <c r="D40" s="23"/>
      <c r="E40" s="23"/>
      <c r="F40" s="23"/>
      <c r="G40" s="23"/>
      <c r="H40" s="23"/>
      <c r="I40" s="23"/>
      <c r="J40" s="23"/>
      <c r="K40" s="55" t="str">
        <f>IFERROR(__xludf.DUMMYFUNCTION("IF($A40="""","""",MAX(IFERROR(INDEX('Процессы'!$T$5:$T$204,MATCH($B40,'Процессы'!$A$5:$A$204,0)),0),IFERROR(MAX(FILTER('Действия'!$Q$5:$Q$304,'Действия'!$B$5:$B$304=$B40,'Действия'!$L$5:$L$304=$H40,'Действия'!$M$5:$M$304=$I40)),0),IFERROR(MAX(FILTER('Связ"&amp;"и действий'!$U$5:$U$304,'Связи действий'!$B$5:$B$304=$B40,'Связи действий'!$O$5:$O$304=$H40,'Связи действий'!$P$5:$P$304=$I40)),0)))"),"")</f>
        <v/>
      </c>
      <c r="L40" s="55"/>
      <c r="M40" s="23" t="str">
        <f t="shared" si="1"/>
        <v/>
      </c>
      <c r="P40" s="23"/>
      <c r="Q40" s="58"/>
      <c r="R40" s="58"/>
    </row>
    <row r="41">
      <c r="A41" s="23"/>
      <c r="B41" s="23"/>
      <c r="D41" s="23"/>
      <c r="E41" s="23"/>
      <c r="F41" s="23"/>
      <c r="G41" s="23"/>
      <c r="H41" s="23"/>
      <c r="I41" s="23"/>
      <c r="J41" s="23"/>
      <c r="K41" s="55" t="str">
        <f>IFERROR(__xludf.DUMMYFUNCTION("IF($A41="""","""",MAX(IFERROR(INDEX('Процессы'!$T$5:$T$204,MATCH($B41,'Процессы'!$A$5:$A$204,0)),0),IFERROR(MAX(FILTER('Действия'!$Q$5:$Q$304,'Действия'!$B$5:$B$304=$B41,'Действия'!$L$5:$L$304=$H41,'Действия'!$M$5:$M$304=$I41)),0),IFERROR(MAX(FILTER('Связ"&amp;"и действий'!$U$5:$U$304,'Связи действий'!$B$5:$B$304=$B41,'Связи действий'!$O$5:$O$304=$H41,'Связи действий'!$P$5:$P$304=$I41)),0)))"),"")</f>
        <v/>
      </c>
      <c r="L41" s="55"/>
      <c r="M41" s="23" t="str">
        <f t="shared" si="1"/>
        <v/>
      </c>
      <c r="P41" s="23"/>
      <c r="Q41" s="58"/>
      <c r="R41" s="58"/>
    </row>
    <row r="42">
      <c r="A42" s="23"/>
      <c r="B42" s="23"/>
      <c r="D42" s="23"/>
      <c r="E42" s="23"/>
      <c r="F42" s="23"/>
      <c r="G42" s="23"/>
      <c r="H42" s="23"/>
      <c r="I42" s="23"/>
      <c r="J42" s="23"/>
      <c r="K42" s="55" t="str">
        <f>IFERROR(__xludf.DUMMYFUNCTION("IF($A42="""","""",MAX(IFERROR(INDEX('Процессы'!$T$5:$T$204,MATCH($B42,'Процессы'!$A$5:$A$204,0)),0),IFERROR(MAX(FILTER('Действия'!$Q$5:$Q$304,'Действия'!$B$5:$B$304=$B42,'Действия'!$L$5:$L$304=$H42,'Действия'!$M$5:$M$304=$I42)),0),IFERROR(MAX(FILTER('Связ"&amp;"и действий'!$U$5:$U$304,'Связи действий'!$B$5:$B$304=$B42,'Связи действий'!$O$5:$O$304=$H42,'Связи действий'!$P$5:$P$304=$I42)),0)))"),"")</f>
        <v/>
      </c>
      <c r="L42" s="55"/>
      <c r="M42" s="23" t="str">
        <f t="shared" si="1"/>
        <v/>
      </c>
      <c r="P42" s="23"/>
      <c r="Q42" s="58"/>
      <c r="R42" s="58"/>
    </row>
    <row r="43">
      <c r="A43" s="23"/>
      <c r="B43" s="23"/>
      <c r="D43" s="23"/>
      <c r="E43" s="23"/>
      <c r="F43" s="23"/>
      <c r="G43" s="23"/>
      <c r="H43" s="23"/>
      <c r="I43" s="23"/>
      <c r="J43" s="23"/>
      <c r="K43" s="55" t="str">
        <f>IFERROR(__xludf.DUMMYFUNCTION("IF($A43="""","""",MAX(IFERROR(INDEX('Процессы'!$T$5:$T$204,MATCH($B43,'Процессы'!$A$5:$A$204,0)),0),IFERROR(MAX(FILTER('Действия'!$Q$5:$Q$304,'Действия'!$B$5:$B$304=$B43,'Действия'!$L$5:$L$304=$H43,'Действия'!$M$5:$M$304=$I43)),0),IFERROR(MAX(FILTER('Связ"&amp;"и действий'!$U$5:$U$304,'Связи действий'!$B$5:$B$304=$B43,'Связи действий'!$O$5:$O$304=$H43,'Связи действий'!$P$5:$P$304=$I43)),0)))"),"")</f>
        <v/>
      </c>
      <c r="L43" s="55"/>
      <c r="M43" s="23" t="str">
        <f t="shared" si="1"/>
        <v/>
      </c>
      <c r="P43" s="23"/>
      <c r="Q43" s="58"/>
      <c r="R43" s="58"/>
    </row>
    <row r="44">
      <c r="A44" s="23"/>
      <c r="B44" s="23"/>
      <c r="D44" s="23"/>
      <c r="E44" s="23"/>
      <c r="F44" s="23"/>
      <c r="G44" s="23"/>
      <c r="H44" s="23"/>
      <c r="I44" s="23"/>
      <c r="J44" s="23"/>
      <c r="K44" s="55" t="str">
        <f>IFERROR(__xludf.DUMMYFUNCTION("IF($A44="""","""",MAX(IFERROR(INDEX('Процессы'!$T$5:$T$204,MATCH($B44,'Процессы'!$A$5:$A$204,0)),0),IFERROR(MAX(FILTER('Действия'!$Q$5:$Q$304,'Действия'!$B$5:$B$304=$B44,'Действия'!$L$5:$L$304=$H44,'Действия'!$M$5:$M$304=$I44)),0),IFERROR(MAX(FILTER('Связ"&amp;"и действий'!$U$5:$U$304,'Связи действий'!$B$5:$B$304=$B44,'Связи действий'!$O$5:$O$304=$H44,'Связи действий'!$P$5:$P$304=$I44)),0)))"),"")</f>
        <v/>
      </c>
      <c r="L44" s="55"/>
      <c r="M44" s="23" t="str">
        <f t="shared" si="1"/>
        <v/>
      </c>
      <c r="P44" s="23"/>
      <c r="Q44" s="58"/>
      <c r="R44" s="58"/>
    </row>
    <row r="45">
      <c r="A45" s="23"/>
      <c r="B45" s="23"/>
      <c r="D45" s="23"/>
      <c r="E45" s="23"/>
      <c r="F45" s="23"/>
      <c r="G45" s="23"/>
      <c r="H45" s="23"/>
      <c r="I45" s="23"/>
      <c r="J45" s="23"/>
      <c r="K45" s="55" t="str">
        <f>IFERROR(__xludf.DUMMYFUNCTION("IF($A45="""","""",MAX(IFERROR(INDEX('Процессы'!$T$5:$T$204,MATCH($B45,'Процессы'!$A$5:$A$204,0)),0),IFERROR(MAX(FILTER('Действия'!$Q$5:$Q$304,'Действия'!$B$5:$B$304=$B45,'Действия'!$L$5:$L$304=$H45,'Действия'!$M$5:$M$304=$I45)),0),IFERROR(MAX(FILTER('Связ"&amp;"и действий'!$U$5:$U$304,'Связи действий'!$B$5:$B$304=$B45,'Связи действий'!$O$5:$O$304=$H45,'Связи действий'!$P$5:$P$304=$I45)),0)))"),"")</f>
        <v/>
      </c>
      <c r="L45" s="55"/>
      <c r="M45" s="23" t="str">
        <f t="shared" si="1"/>
        <v/>
      </c>
      <c r="P45" s="23"/>
      <c r="Q45" s="58"/>
      <c r="R45" s="58"/>
    </row>
    <row r="46">
      <c r="A46" s="23"/>
      <c r="B46" s="23"/>
      <c r="D46" s="23"/>
      <c r="E46" s="23"/>
      <c r="F46" s="23"/>
      <c r="G46" s="23"/>
      <c r="H46" s="23"/>
      <c r="I46" s="23"/>
      <c r="J46" s="23"/>
      <c r="K46" s="55" t="str">
        <f>IFERROR(__xludf.DUMMYFUNCTION("IF($A46="""","""",MAX(IFERROR(INDEX('Процессы'!$T$5:$T$204,MATCH($B46,'Процессы'!$A$5:$A$204,0)),0),IFERROR(MAX(FILTER('Действия'!$Q$5:$Q$304,'Действия'!$B$5:$B$304=$B46,'Действия'!$L$5:$L$304=$H46,'Действия'!$M$5:$M$304=$I46)),0),IFERROR(MAX(FILTER('Связ"&amp;"и действий'!$U$5:$U$304,'Связи действий'!$B$5:$B$304=$B46,'Связи действий'!$O$5:$O$304=$H46,'Связи действий'!$P$5:$P$304=$I46)),0)))"),"")</f>
        <v/>
      </c>
      <c r="L46" s="55"/>
      <c r="M46" s="23" t="str">
        <f t="shared" si="1"/>
        <v/>
      </c>
      <c r="P46" s="23"/>
      <c r="Q46" s="58"/>
      <c r="R46" s="58"/>
    </row>
    <row r="47">
      <c r="A47" s="23"/>
      <c r="B47" s="23"/>
      <c r="D47" s="23"/>
      <c r="E47" s="23"/>
      <c r="F47" s="23"/>
      <c r="G47" s="23"/>
      <c r="H47" s="23"/>
      <c r="I47" s="23"/>
      <c r="J47" s="23"/>
      <c r="K47" s="55" t="str">
        <f>IFERROR(__xludf.DUMMYFUNCTION("IF($A47="""","""",MAX(IFERROR(INDEX('Процессы'!$T$5:$T$204,MATCH($B47,'Процессы'!$A$5:$A$204,0)),0),IFERROR(MAX(FILTER('Действия'!$Q$5:$Q$304,'Действия'!$B$5:$B$304=$B47,'Действия'!$L$5:$L$304=$H47,'Действия'!$M$5:$M$304=$I47)),0),IFERROR(MAX(FILTER('Связ"&amp;"и действий'!$U$5:$U$304,'Связи действий'!$B$5:$B$304=$B47,'Связи действий'!$O$5:$O$304=$H47,'Связи действий'!$P$5:$P$304=$I47)),0)))"),"")</f>
        <v/>
      </c>
      <c r="L47" s="55"/>
      <c r="M47" s="23" t="str">
        <f t="shared" si="1"/>
        <v/>
      </c>
      <c r="P47" s="23"/>
      <c r="Q47" s="58"/>
      <c r="R47" s="58"/>
    </row>
    <row r="48">
      <c r="A48" s="23"/>
      <c r="B48" s="23"/>
      <c r="D48" s="23"/>
      <c r="E48" s="23"/>
      <c r="F48" s="23"/>
      <c r="G48" s="23"/>
      <c r="H48" s="23"/>
      <c r="I48" s="23"/>
      <c r="J48" s="23"/>
      <c r="K48" s="55" t="str">
        <f>IFERROR(__xludf.DUMMYFUNCTION("IF($A48="""","""",MAX(IFERROR(INDEX('Процессы'!$T$5:$T$204,MATCH($B48,'Процессы'!$A$5:$A$204,0)),0),IFERROR(MAX(FILTER('Действия'!$Q$5:$Q$304,'Действия'!$B$5:$B$304=$B48,'Действия'!$L$5:$L$304=$H48,'Действия'!$M$5:$M$304=$I48)),0),IFERROR(MAX(FILTER('Связ"&amp;"и действий'!$U$5:$U$304,'Связи действий'!$B$5:$B$304=$B48,'Связи действий'!$O$5:$O$304=$H48,'Связи действий'!$P$5:$P$304=$I48)),0)))"),"")</f>
        <v/>
      </c>
      <c r="L48" s="55"/>
      <c r="M48" s="23" t="str">
        <f t="shared" si="1"/>
        <v/>
      </c>
      <c r="P48" s="23"/>
      <c r="Q48" s="58"/>
      <c r="R48" s="58"/>
    </row>
    <row r="49">
      <c r="A49" s="23"/>
      <c r="B49" s="23"/>
      <c r="D49" s="23"/>
      <c r="E49" s="23"/>
      <c r="F49" s="23"/>
      <c r="G49" s="23"/>
      <c r="H49" s="23"/>
      <c r="I49" s="23"/>
      <c r="J49" s="23"/>
      <c r="K49" s="55" t="str">
        <f>IFERROR(__xludf.DUMMYFUNCTION("IF($A49="""","""",MAX(IFERROR(INDEX('Процессы'!$T$5:$T$204,MATCH($B49,'Процессы'!$A$5:$A$204,0)),0),IFERROR(MAX(FILTER('Действия'!$Q$5:$Q$304,'Действия'!$B$5:$B$304=$B49,'Действия'!$L$5:$L$304=$H49,'Действия'!$M$5:$M$304=$I49)),0),IFERROR(MAX(FILTER('Связ"&amp;"и действий'!$U$5:$U$304,'Связи действий'!$B$5:$B$304=$B49,'Связи действий'!$O$5:$O$304=$H49,'Связи действий'!$P$5:$P$304=$I49)),0)))"),"")</f>
        <v/>
      </c>
      <c r="L49" s="55"/>
      <c r="M49" s="23" t="str">
        <f t="shared" si="1"/>
        <v/>
      </c>
      <c r="P49" s="23"/>
      <c r="Q49" s="58"/>
      <c r="R49" s="58"/>
    </row>
    <row r="50">
      <c r="A50" s="23"/>
      <c r="B50" s="23"/>
      <c r="D50" s="23"/>
      <c r="E50" s="23"/>
      <c r="F50" s="23"/>
      <c r="G50" s="23"/>
      <c r="H50" s="23"/>
      <c r="I50" s="23"/>
      <c r="J50" s="23"/>
      <c r="K50" s="55" t="str">
        <f>IFERROR(__xludf.DUMMYFUNCTION("IF($A50="""","""",MAX(IFERROR(INDEX('Процессы'!$T$5:$T$204,MATCH($B50,'Процессы'!$A$5:$A$204,0)),0),IFERROR(MAX(FILTER('Действия'!$Q$5:$Q$304,'Действия'!$B$5:$B$304=$B50,'Действия'!$L$5:$L$304=$H50,'Действия'!$M$5:$M$304=$I50)),0),IFERROR(MAX(FILTER('Связ"&amp;"и действий'!$U$5:$U$304,'Связи действий'!$B$5:$B$304=$B50,'Связи действий'!$O$5:$O$304=$H50,'Связи действий'!$P$5:$P$304=$I50)),0)))"),"")</f>
        <v/>
      </c>
      <c r="L50" s="55"/>
      <c r="M50" s="23" t="str">
        <f t="shared" si="1"/>
        <v/>
      </c>
      <c r="P50" s="23"/>
      <c r="Q50" s="58"/>
      <c r="R50" s="58"/>
    </row>
    <row r="51">
      <c r="A51" s="23"/>
      <c r="B51" s="23"/>
      <c r="D51" s="23"/>
      <c r="E51" s="23"/>
      <c r="F51" s="23"/>
      <c r="G51" s="23"/>
      <c r="H51" s="23"/>
      <c r="I51" s="23"/>
      <c r="J51" s="23"/>
      <c r="K51" s="55" t="str">
        <f>IFERROR(__xludf.DUMMYFUNCTION("IF($A51="""","""",MAX(IFERROR(INDEX('Процессы'!$T$5:$T$204,MATCH($B51,'Процессы'!$A$5:$A$204,0)),0),IFERROR(MAX(FILTER('Действия'!$Q$5:$Q$304,'Действия'!$B$5:$B$304=$B51,'Действия'!$L$5:$L$304=$H51,'Действия'!$M$5:$M$304=$I51)),0),IFERROR(MAX(FILTER('Связ"&amp;"и действий'!$U$5:$U$304,'Связи действий'!$B$5:$B$304=$B51,'Связи действий'!$O$5:$O$304=$H51,'Связи действий'!$P$5:$P$304=$I51)),0)))"),"")</f>
        <v/>
      </c>
      <c r="L51" s="55"/>
      <c r="M51" s="23" t="str">
        <f t="shared" si="1"/>
        <v/>
      </c>
      <c r="P51" s="23"/>
      <c r="Q51" s="58"/>
      <c r="R51" s="58"/>
    </row>
    <row r="52">
      <c r="A52" s="23"/>
      <c r="B52" s="23"/>
      <c r="D52" s="23"/>
      <c r="E52" s="23"/>
      <c r="F52" s="23"/>
      <c r="G52" s="23"/>
      <c r="H52" s="23"/>
      <c r="I52" s="23"/>
      <c r="J52" s="23"/>
      <c r="K52" s="55" t="str">
        <f>IFERROR(__xludf.DUMMYFUNCTION("IF($A52="""","""",MAX(IFERROR(INDEX('Процессы'!$T$5:$T$204,MATCH($B52,'Процессы'!$A$5:$A$204,0)),0),IFERROR(MAX(FILTER('Действия'!$Q$5:$Q$304,'Действия'!$B$5:$B$304=$B52,'Действия'!$L$5:$L$304=$H52,'Действия'!$M$5:$M$304=$I52)),0),IFERROR(MAX(FILTER('Связ"&amp;"и действий'!$U$5:$U$304,'Связи действий'!$B$5:$B$304=$B52,'Связи действий'!$O$5:$O$304=$H52,'Связи действий'!$P$5:$P$304=$I52)),0)))"),"")</f>
        <v/>
      </c>
      <c r="L52" s="55"/>
      <c r="M52" s="23" t="str">
        <f t="shared" si="1"/>
        <v/>
      </c>
      <c r="P52" s="23"/>
      <c r="Q52" s="58"/>
      <c r="R52" s="58"/>
    </row>
    <row r="53">
      <c r="A53" s="23"/>
      <c r="B53" s="23"/>
      <c r="D53" s="23"/>
      <c r="E53" s="23"/>
      <c r="F53" s="23"/>
      <c r="G53" s="23"/>
      <c r="H53" s="23"/>
      <c r="I53" s="23"/>
      <c r="J53" s="23"/>
      <c r="K53" s="55" t="str">
        <f>IFERROR(__xludf.DUMMYFUNCTION("IF($A53="""","""",MAX(IFERROR(INDEX('Процессы'!$T$5:$T$204,MATCH($B53,'Процессы'!$A$5:$A$204,0)),0),IFERROR(MAX(FILTER('Действия'!$Q$5:$Q$304,'Действия'!$B$5:$B$304=$B53,'Действия'!$L$5:$L$304=$H53,'Действия'!$M$5:$M$304=$I53)),0),IFERROR(MAX(FILTER('Связ"&amp;"и действий'!$U$5:$U$304,'Связи действий'!$B$5:$B$304=$B53,'Связи действий'!$O$5:$O$304=$H53,'Связи действий'!$P$5:$P$304=$I53)),0)))"),"")</f>
        <v/>
      </c>
      <c r="L53" s="55"/>
      <c r="M53" s="23" t="str">
        <f t="shared" si="1"/>
        <v/>
      </c>
      <c r="P53" s="23"/>
      <c r="Q53" s="58"/>
      <c r="R53" s="58"/>
    </row>
    <row r="54">
      <c r="A54" s="23"/>
      <c r="B54" s="23"/>
      <c r="D54" s="23"/>
      <c r="E54" s="23"/>
      <c r="F54" s="23"/>
      <c r="G54" s="23"/>
      <c r="H54" s="23"/>
      <c r="I54" s="23"/>
      <c r="J54" s="23"/>
      <c r="K54" s="55" t="str">
        <f>IFERROR(__xludf.DUMMYFUNCTION("IF($A54="""","""",MAX(IFERROR(INDEX('Процессы'!$T$5:$T$204,MATCH($B54,'Процессы'!$A$5:$A$204,0)),0),IFERROR(MAX(FILTER('Действия'!$Q$5:$Q$304,'Действия'!$B$5:$B$304=$B54,'Действия'!$L$5:$L$304=$H54,'Действия'!$M$5:$M$304=$I54)),0),IFERROR(MAX(FILTER('Связ"&amp;"и действий'!$U$5:$U$304,'Связи действий'!$B$5:$B$304=$B54,'Связи действий'!$O$5:$O$304=$H54,'Связи действий'!$P$5:$P$304=$I54)),0)))"),"")</f>
        <v/>
      </c>
      <c r="L54" s="55"/>
      <c r="M54" s="23" t="str">
        <f t="shared" si="1"/>
        <v/>
      </c>
      <c r="P54" s="23"/>
      <c r="Q54" s="58"/>
      <c r="R54" s="58"/>
    </row>
    <row r="55">
      <c r="A55" s="23"/>
      <c r="B55" s="23"/>
      <c r="D55" s="23"/>
      <c r="E55" s="23"/>
      <c r="F55" s="23"/>
      <c r="G55" s="23"/>
      <c r="H55" s="23"/>
      <c r="I55" s="23"/>
      <c r="J55" s="23"/>
      <c r="K55" s="55" t="str">
        <f>IFERROR(__xludf.DUMMYFUNCTION("IF($A55="""","""",MAX(IFERROR(INDEX('Процессы'!$T$5:$T$204,MATCH($B55,'Процессы'!$A$5:$A$204,0)),0),IFERROR(MAX(FILTER('Действия'!$Q$5:$Q$304,'Действия'!$B$5:$B$304=$B55,'Действия'!$L$5:$L$304=$H55,'Действия'!$M$5:$M$304=$I55)),0),IFERROR(MAX(FILTER('Связ"&amp;"и действий'!$U$5:$U$304,'Связи действий'!$B$5:$B$304=$B55,'Связи действий'!$O$5:$O$304=$H55,'Связи действий'!$P$5:$P$304=$I55)),0)))"),"")</f>
        <v/>
      </c>
      <c r="L55" s="55"/>
      <c r="M55" s="23" t="str">
        <f t="shared" si="1"/>
        <v/>
      </c>
      <c r="P55" s="23"/>
      <c r="Q55" s="58"/>
      <c r="R55" s="58"/>
    </row>
    <row r="56">
      <c r="A56" s="23"/>
      <c r="B56" s="23"/>
      <c r="D56" s="23"/>
      <c r="E56" s="23"/>
      <c r="F56" s="23"/>
      <c r="G56" s="23"/>
      <c r="H56" s="23"/>
      <c r="I56" s="23"/>
      <c r="J56" s="23"/>
      <c r="K56" s="55" t="str">
        <f>IFERROR(__xludf.DUMMYFUNCTION("IF($A56="""","""",MAX(IFERROR(INDEX('Процессы'!$T$5:$T$204,MATCH($B56,'Процессы'!$A$5:$A$204,0)),0),IFERROR(MAX(FILTER('Действия'!$Q$5:$Q$304,'Действия'!$B$5:$B$304=$B56,'Действия'!$L$5:$L$304=$H56,'Действия'!$M$5:$M$304=$I56)),0),IFERROR(MAX(FILTER('Связ"&amp;"и действий'!$U$5:$U$304,'Связи действий'!$B$5:$B$304=$B56,'Связи действий'!$O$5:$O$304=$H56,'Связи действий'!$P$5:$P$304=$I56)),0)))"),"")</f>
        <v/>
      </c>
      <c r="L56" s="55"/>
      <c r="M56" s="23" t="str">
        <f t="shared" si="1"/>
        <v/>
      </c>
      <c r="P56" s="23"/>
      <c r="Q56" s="58"/>
      <c r="R56" s="58"/>
    </row>
    <row r="57">
      <c r="A57" s="23"/>
      <c r="B57" s="23"/>
      <c r="D57" s="23"/>
      <c r="E57" s="23"/>
      <c r="F57" s="23"/>
      <c r="G57" s="23"/>
      <c r="H57" s="23"/>
      <c r="I57" s="23"/>
      <c r="J57" s="23"/>
      <c r="K57" s="55" t="str">
        <f>IFERROR(__xludf.DUMMYFUNCTION("IF($A57="""","""",MAX(IFERROR(INDEX('Процессы'!$T$5:$T$204,MATCH($B57,'Процессы'!$A$5:$A$204,0)),0),IFERROR(MAX(FILTER('Действия'!$Q$5:$Q$304,'Действия'!$B$5:$B$304=$B57,'Действия'!$L$5:$L$304=$H57,'Действия'!$M$5:$M$304=$I57)),0),IFERROR(MAX(FILTER('Связ"&amp;"и действий'!$U$5:$U$304,'Связи действий'!$B$5:$B$304=$B57,'Связи действий'!$O$5:$O$304=$H57,'Связи действий'!$P$5:$P$304=$I57)),0)))"),"")</f>
        <v/>
      </c>
      <c r="L57" s="55"/>
      <c r="M57" s="23" t="str">
        <f t="shared" si="1"/>
        <v/>
      </c>
      <c r="P57" s="23"/>
      <c r="Q57" s="58"/>
      <c r="R57" s="58"/>
    </row>
    <row r="58">
      <c r="A58" s="23"/>
      <c r="B58" s="23"/>
      <c r="D58" s="23"/>
      <c r="E58" s="23"/>
      <c r="F58" s="23"/>
      <c r="G58" s="23"/>
      <c r="H58" s="23"/>
      <c r="I58" s="23"/>
      <c r="J58" s="23"/>
      <c r="K58" s="55" t="str">
        <f>IFERROR(__xludf.DUMMYFUNCTION("IF($A58="""","""",MAX(IFERROR(INDEX('Процессы'!$T$5:$T$204,MATCH($B58,'Процессы'!$A$5:$A$204,0)),0),IFERROR(MAX(FILTER('Действия'!$Q$5:$Q$304,'Действия'!$B$5:$B$304=$B58,'Действия'!$L$5:$L$304=$H58,'Действия'!$M$5:$M$304=$I58)),0),IFERROR(MAX(FILTER('Связ"&amp;"и действий'!$U$5:$U$304,'Связи действий'!$B$5:$B$304=$B58,'Связи действий'!$O$5:$O$304=$H58,'Связи действий'!$P$5:$P$304=$I58)),0)))"),"")</f>
        <v/>
      </c>
      <c r="L58" s="55"/>
      <c r="M58" s="23" t="str">
        <f t="shared" si="1"/>
        <v/>
      </c>
      <c r="P58" s="23"/>
      <c r="Q58" s="58"/>
      <c r="R58" s="58"/>
    </row>
    <row r="59">
      <c r="A59" s="23"/>
      <c r="B59" s="23"/>
      <c r="D59" s="23"/>
      <c r="E59" s="23"/>
      <c r="F59" s="23"/>
      <c r="G59" s="23"/>
      <c r="H59" s="23"/>
      <c r="I59" s="23"/>
      <c r="J59" s="23"/>
      <c r="K59" s="55" t="str">
        <f>IFERROR(__xludf.DUMMYFUNCTION("IF($A59="""","""",MAX(IFERROR(INDEX('Процессы'!$T$5:$T$204,MATCH($B59,'Процессы'!$A$5:$A$204,0)),0),IFERROR(MAX(FILTER('Действия'!$Q$5:$Q$304,'Действия'!$B$5:$B$304=$B59,'Действия'!$L$5:$L$304=$H59,'Действия'!$M$5:$M$304=$I59)),0),IFERROR(MAX(FILTER('Связ"&amp;"и действий'!$U$5:$U$304,'Связи действий'!$B$5:$B$304=$B59,'Связи действий'!$O$5:$O$304=$H59,'Связи действий'!$P$5:$P$304=$I59)),0)))"),"")</f>
        <v/>
      </c>
      <c r="L59" s="55"/>
      <c r="M59" s="23" t="str">
        <f t="shared" si="1"/>
        <v/>
      </c>
      <c r="P59" s="23"/>
      <c r="Q59" s="58"/>
      <c r="R59" s="58"/>
    </row>
    <row r="60">
      <c r="A60" s="23"/>
      <c r="B60" s="23"/>
      <c r="D60" s="23"/>
      <c r="E60" s="23"/>
      <c r="F60" s="23"/>
      <c r="G60" s="23"/>
      <c r="H60" s="23"/>
      <c r="I60" s="23"/>
      <c r="J60" s="23"/>
      <c r="K60" s="55" t="str">
        <f>IFERROR(__xludf.DUMMYFUNCTION("IF($A60="""","""",MAX(IFERROR(INDEX('Процессы'!$T$5:$T$204,MATCH($B60,'Процессы'!$A$5:$A$204,0)),0),IFERROR(MAX(FILTER('Действия'!$Q$5:$Q$304,'Действия'!$B$5:$B$304=$B60,'Действия'!$L$5:$L$304=$H60,'Действия'!$M$5:$M$304=$I60)),0),IFERROR(MAX(FILTER('Связ"&amp;"и действий'!$U$5:$U$304,'Связи действий'!$B$5:$B$304=$B60,'Связи действий'!$O$5:$O$304=$H60,'Связи действий'!$P$5:$P$304=$I60)),0)))"),"")</f>
        <v/>
      </c>
      <c r="L60" s="55"/>
      <c r="M60" s="23" t="str">
        <f t="shared" si="1"/>
        <v/>
      </c>
      <c r="P60" s="23"/>
      <c r="Q60" s="58"/>
      <c r="R60" s="58"/>
    </row>
    <row r="61">
      <c r="A61" s="23"/>
      <c r="B61" s="23"/>
      <c r="D61" s="23"/>
      <c r="E61" s="23"/>
      <c r="F61" s="23"/>
      <c r="G61" s="23"/>
      <c r="H61" s="23"/>
      <c r="I61" s="23"/>
      <c r="J61" s="23"/>
      <c r="K61" s="55" t="str">
        <f>IFERROR(__xludf.DUMMYFUNCTION("IF($A61="""","""",MAX(IFERROR(INDEX('Процессы'!$T$5:$T$204,MATCH($B61,'Процессы'!$A$5:$A$204,0)),0),IFERROR(MAX(FILTER('Действия'!$Q$5:$Q$304,'Действия'!$B$5:$B$304=$B61,'Действия'!$L$5:$L$304=$H61,'Действия'!$M$5:$M$304=$I61)),0),IFERROR(MAX(FILTER('Связ"&amp;"и действий'!$U$5:$U$304,'Связи действий'!$B$5:$B$304=$B61,'Связи действий'!$O$5:$O$304=$H61,'Связи действий'!$P$5:$P$304=$I61)),0)))"),"")</f>
        <v/>
      </c>
      <c r="L61" s="55"/>
      <c r="M61" s="23" t="str">
        <f t="shared" si="1"/>
        <v/>
      </c>
      <c r="P61" s="23"/>
      <c r="Q61" s="58"/>
      <c r="R61" s="58"/>
    </row>
    <row r="62">
      <c r="A62" s="23"/>
      <c r="B62" s="23"/>
      <c r="D62" s="23"/>
      <c r="E62" s="23"/>
      <c r="F62" s="23"/>
      <c r="G62" s="23"/>
      <c r="H62" s="23"/>
      <c r="I62" s="23"/>
      <c r="J62" s="23"/>
      <c r="K62" s="55" t="str">
        <f>IFERROR(__xludf.DUMMYFUNCTION("IF($A62="""","""",MAX(IFERROR(INDEX('Процессы'!$T$5:$T$204,MATCH($B62,'Процессы'!$A$5:$A$204,0)),0),IFERROR(MAX(FILTER('Действия'!$Q$5:$Q$304,'Действия'!$B$5:$B$304=$B62,'Действия'!$L$5:$L$304=$H62,'Действия'!$M$5:$M$304=$I62)),0),IFERROR(MAX(FILTER('Связ"&amp;"и действий'!$U$5:$U$304,'Связи действий'!$B$5:$B$304=$B62,'Связи действий'!$O$5:$O$304=$H62,'Связи действий'!$P$5:$P$304=$I62)),0)))"),"")</f>
        <v/>
      </c>
      <c r="L62" s="55"/>
      <c r="M62" s="23" t="str">
        <f t="shared" si="1"/>
        <v/>
      </c>
      <c r="P62" s="23"/>
      <c r="Q62" s="58"/>
      <c r="R62" s="58"/>
    </row>
    <row r="63">
      <c r="A63" s="23"/>
      <c r="B63" s="23"/>
      <c r="D63" s="23"/>
      <c r="E63" s="23"/>
      <c r="F63" s="23"/>
      <c r="G63" s="23"/>
      <c r="H63" s="23"/>
      <c r="I63" s="23"/>
      <c r="J63" s="23"/>
      <c r="K63" s="55" t="str">
        <f>IFERROR(__xludf.DUMMYFUNCTION("IF($A63="""","""",MAX(IFERROR(INDEX('Процессы'!$T$5:$T$204,MATCH($B63,'Процессы'!$A$5:$A$204,0)),0),IFERROR(MAX(FILTER('Действия'!$Q$5:$Q$304,'Действия'!$B$5:$B$304=$B63,'Действия'!$L$5:$L$304=$H63,'Действия'!$M$5:$M$304=$I63)),0),IFERROR(MAX(FILTER('Связ"&amp;"и действий'!$U$5:$U$304,'Связи действий'!$B$5:$B$304=$B63,'Связи действий'!$O$5:$O$304=$H63,'Связи действий'!$P$5:$P$304=$I63)),0)))"),"")</f>
        <v/>
      </c>
      <c r="L63" s="55"/>
      <c r="M63" s="23" t="str">
        <f t="shared" si="1"/>
        <v/>
      </c>
      <c r="P63" s="23"/>
      <c r="Q63" s="58"/>
      <c r="R63" s="58"/>
    </row>
    <row r="64">
      <c r="A64" s="23"/>
      <c r="B64" s="23"/>
      <c r="D64" s="23"/>
      <c r="E64" s="23"/>
      <c r="F64" s="23"/>
      <c r="G64" s="23"/>
      <c r="H64" s="23"/>
      <c r="I64" s="23"/>
      <c r="J64" s="23"/>
      <c r="K64" s="55" t="str">
        <f>IFERROR(__xludf.DUMMYFUNCTION("IF($A64="""","""",MAX(IFERROR(INDEX('Процессы'!$T$5:$T$204,MATCH($B64,'Процессы'!$A$5:$A$204,0)),0),IFERROR(MAX(FILTER('Действия'!$Q$5:$Q$304,'Действия'!$B$5:$B$304=$B64,'Действия'!$L$5:$L$304=$H64,'Действия'!$M$5:$M$304=$I64)),0),IFERROR(MAX(FILTER('Связ"&amp;"и действий'!$U$5:$U$304,'Связи действий'!$B$5:$B$304=$B64,'Связи действий'!$O$5:$O$304=$H64,'Связи действий'!$P$5:$P$304=$I64)),0)))"),"")</f>
        <v/>
      </c>
      <c r="L64" s="55"/>
      <c r="M64" s="23" t="str">
        <f t="shared" si="1"/>
        <v/>
      </c>
      <c r="P64" s="23"/>
      <c r="Q64" s="58"/>
      <c r="R64" s="58"/>
    </row>
    <row r="65">
      <c r="A65" s="23"/>
      <c r="B65" s="23"/>
      <c r="D65" s="23"/>
      <c r="E65" s="23"/>
      <c r="F65" s="23"/>
      <c r="G65" s="23"/>
      <c r="H65" s="23"/>
      <c r="I65" s="23"/>
      <c r="J65" s="23"/>
      <c r="K65" s="55" t="str">
        <f>IFERROR(__xludf.DUMMYFUNCTION("IF($A65="""","""",MAX(IFERROR(INDEX('Процессы'!$T$5:$T$204,MATCH($B65,'Процессы'!$A$5:$A$204,0)),0),IFERROR(MAX(FILTER('Действия'!$Q$5:$Q$304,'Действия'!$B$5:$B$304=$B65,'Действия'!$L$5:$L$304=$H65,'Действия'!$M$5:$M$304=$I65)),0),IFERROR(MAX(FILTER('Связ"&amp;"и действий'!$U$5:$U$304,'Связи действий'!$B$5:$B$304=$B65,'Связи действий'!$O$5:$O$304=$H65,'Связи действий'!$P$5:$P$304=$I65)),0)))"),"")</f>
        <v/>
      </c>
      <c r="L65" s="55"/>
      <c r="M65" s="23" t="str">
        <f t="shared" si="1"/>
        <v/>
      </c>
      <c r="P65" s="23"/>
      <c r="Q65" s="58"/>
      <c r="R65" s="58"/>
    </row>
    <row r="66">
      <c r="A66" s="23"/>
      <c r="B66" s="23"/>
      <c r="D66" s="23"/>
      <c r="E66" s="23"/>
      <c r="F66" s="23"/>
      <c r="G66" s="23"/>
      <c r="H66" s="23"/>
      <c r="I66" s="23"/>
      <c r="J66" s="23"/>
      <c r="K66" s="55" t="str">
        <f>IFERROR(__xludf.DUMMYFUNCTION("IF($A66="""","""",MAX(IFERROR(INDEX('Процессы'!$T$5:$T$204,MATCH($B66,'Процессы'!$A$5:$A$204,0)),0),IFERROR(MAX(FILTER('Действия'!$Q$5:$Q$304,'Действия'!$B$5:$B$304=$B66,'Действия'!$L$5:$L$304=$H66,'Действия'!$M$5:$M$304=$I66)),0),IFERROR(MAX(FILTER('Связ"&amp;"и действий'!$U$5:$U$304,'Связи действий'!$B$5:$B$304=$B66,'Связи действий'!$O$5:$O$304=$H66,'Связи действий'!$P$5:$P$304=$I66)),0)))"),"")</f>
        <v/>
      </c>
      <c r="L66" s="55"/>
      <c r="M66" s="23" t="str">
        <f t="shared" si="1"/>
        <v/>
      </c>
      <c r="P66" s="23"/>
      <c r="Q66" s="58"/>
      <c r="R66" s="58"/>
    </row>
    <row r="67">
      <c r="A67" s="23"/>
      <c r="B67" s="23"/>
      <c r="D67" s="23"/>
      <c r="E67" s="23"/>
      <c r="F67" s="23"/>
      <c r="G67" s="23"/>
      <c r="H67" s="23"/>
      <c r="I67" s="23"/>
      <c r="J67" s="23"/>
      <c r="K67" s="55" t="str">
        <f>IFERROR(__xludf.DUMMYFUNCTION("IF($A67="""","""",MAX(IFERROR(INDEX('Процессы'!$T$5:$T$204,MATCH($B67,'Процессы'!$A$5:$A$204,0)),0),IFERROR(MAX(FILTER('Действия'!$Q$5:$Q$304,'Действия'!$B$5:$B$304=$B67,'Действия'!$L$5:$L$304=$H67,'Действия'!$M$5:$M$304=$I67)),0),IFERROR(MAX(FILTER('Связ"&amp;"и действий'!$U$5:$U$304,'Связи действий'!$B$5:$B$304=$B67,'Связи действий'!$O$5:$O$304=$H67,'Связи действий'!$P$5:$P$304=$I67)),0)))"),"")</f>
        <v/>
      </c>
      <c r="L67" s="55"/>
      <c r="M67" s="23" t="str">
        <f t="shared" si="1"/>
        <v/>
      </c>
      <c r="P67" s="23"/>
      <c r="Q67" s="58"/>
      <c r="R67" s="58"/>
    </row>
    <row r="68">
      <c r="A68" s="23"/>
      <c r="B68" s="23"/>
      <c r="D68" s="23"/>
      <c r="E68" s="23"/>
      <c r="F68" s="23"/>
      <c r="G68" s="23"/>
      <c r="H68" s="23"/>
      <c r="I68" s="23"/>
      <c r="J68" s="23"/>
      <c r="K68" s="55" t="str">
        <f>IFERROR(__xludf.DUMMYFUNCTION("IF($A68="""","""",MAX(IFERROR(INDEX('Процессы'!$T$5:$T$204,MATCH($B68,'Процессы'!$A$5:$A$204,0)),0),IFERROR(MAX(FILTER('Действия'!$Q$5:$Q$304,'Действия'!$B$5:$B$304=$B68,'Действия'!$L$5:$L$304=$H68,'Действия'!$M$5:$M$304=$I68)),0),IFERROR(MAX(FILTER('Связ"&amp;"и действий'!$U$5:$U$304,'Связи действий'!$B$5:$B$304=$B68,'Связи действий'!$O$5:$O$304=$H68,'Связи действий'!$P$5:$P$304=$I68)),0)))"),"")</f>
        <v/>
      </c>
      <c r="L68" s="55"/>
      <c r="M68" s="23" t="str">
        <f t="shared" si="1"/>
        <v/>
      </c>
      <c r="P68" s="23"/>
      <c r="Q68" s="58"/>
      <c r="R68" s="58"/>
    </row>
    <row r="69">
      <c r="A69" s="23"/>
      <c r="B69" s="23"/>
      <c r="D69" s="23"/>
      <c r="E69" s="23"/>
      <c r="F69" s="23"/>
      <c r="G69" s="23"/>
      <c r="H69" s="23"/>
      <c r="I69" s="23"/>
      <c r="J69" s="23"/>
      <c r="K69" s="55" t="str">
        <f>IFERROR(__xludf.DUMMYFUNCTION("IF($A69="""","""",MAX(IFERROR(INDEX('Процессы'!$T$5:$T$204,MATCH($B69,'Процессы'!$A$5:$A$204,0)),0),IFERROR(MAX(FILTER('Действия'!$Q$5:$Q$304,'Действия'!$B$5:$B$304=$B69,'Действия'!$L$5:$L$304=$H69,'Действия'!$M$5:$M$304=$I69)),0),IFERROR(MAX(FILTER('Связ"&amp;"и действий'!$U$5:$U$304,'Связи действий'!$B$5:$B$304=$B69,'Связи действий'!$O$5:$O$304=$H69,'Связи действий'!$P$5:$P$304=$I69)),0)))"),"")</f>
        <v/>
      </c>
      <c r="L69" s="55"/>
      <c r="M69" s="23" t="str">
        <f t="shared" si="1"/>
        <v/>
      </c>
      <c r="P69" s="23"/>
      <c r="Q69" s="58"/>
      <c r="R69" s="58"/>
    </row>
    <row r="70">
      <c r="A70" s="23"/>
      <c r="B70" s="23"/>
      <c r="D70" s="23"/>
      <c r="E70" s="23"/>
      <c r="F70" s="23"/>
      <c r="G70" s="23"/>
      <c r="H70" s="23"/>
      <c r="I70" s="23"/>
      <c r="J70" s="23"/>
      <c r="K70" s="55" t="str">
        <f>IFERROR(__xludf.DUMMYFUNCTION("IF($A70="""","""",MAX(IFERROR(INDEX('Процессы'!$T$5:$T$204,MATCH($B70,'Процессы'!$A$5:$A$204,0)),0),IFERROR(MAX(FILTER('Действия'!$Q$5:$Q$304,'Действия'!$B$5:$B$304=$B70,'Действия'!$L$5:$L$304=$H70,'Действия'!$M$5:$M$304=$I70)),0),IFERROR(MAX(FILTER('Связ"&amp;"и действий'!$U$5:$U$304,'Связи действий'!$B$5:$B$304=$B70,'Связи действий'!$O$5:$O$304=$H70,'Связи действий'!$P$5:$P$304=$I70)),0)))"),"")</f>
        <v/>
      </c>
      <c r="L70" s="55"/>
      <c r="M70" s="23" t="str">
        <f t="shared" si="1"/>
        <v/>
      </c>
      <c r="P70" s="23"/>
      <c r="Q70" s="58"/>
      <c r="R70" s="58"/>
    </row>
    <row r="71">
      <c r="A71" s="23"/>
      <c r="B71" s="23"/>
      <c r="D71" s="23"/>
      <c r="E71" s="23"/>
      <c r="F71" s="23"/>
      <c r="G71" s="23"/>
      <c r="H71" s="23"/>
      <c r="I71" s="23"/>
      <c r="J71" s="23"/>
      <c r="K71" s="55" t="str">
        <f>IFERROR(__xludf.DUMMYFUNCTION("IF($A71="""","""",MAX(IFERROR(INDEX('Процессы'!$T$5:$T$204,MATCH($B71,'Процессы'!$A$5:$A$204,0)),0),IFERROR(MAX(FILTER('Действия'!$Q$5:$Q$304,'Действия'!$B$5:$B$304=$B71,'Действия'!$L$5:$L$304=$H71,'Действия'!$M$5:$M$304=$I71)),0),IFERROR(MAX(FILTER('Связ"&amp;"и действий'!$U$5:$U$304,'Связи действий'!$B$5:$B$304=$B71,'Связи действий'!$O$5:$O$304=$H71,'Связи действий'!$P$5:$P$304=$I71)),0)))"),"")</f>
        <v/>
      </c>
      <c r="L71" s="55"/>
      <c r="M71" s="23" t="str">
        <f t="shared" si="1"/>
        <v/>
      </c>
      <c r="P71" s="23"/>
      <c r="Q71" s="58"/>
      <c r="R71" s="58"/>
    </row>
    <row r="72">
      <c r="A72" s="23"/>
      <c r="B72" s="23"/>
      <c r="D72" s="23"/>
      <c r="E72" s="23"/>
      <c r="F72" s="23"/>
      <c r="G72" s="23"/>
      <c r="H72" s="23"/>
      <c r="I72" s="23"/>
      <c r="J72" s="23"/>
      <c r="K72" s="55" t="str">
        <f>IFERROR(__xludf.DUMMYFUNCTION("IF($A72="""","""",MAX(IFERROR(INDEX('Процессы'!$T$5:$T$204,MATCH($B72,'Процессы'!$A$5:$A$204,0)),0),IFERROR(MAX(FILTER('Действия'!$Q$5:$Q$304,'Действия'!$B$5:$B$304=$B72,'Действия'!$L$5:$L$304=$H72,'Действия'!$M$5:$M$304=$I72)),0),IFERROR(MAX(FILTER('Связ"&amp;"и действий'!$U$5:$U$304,'Связи действий'!$B$5:$B$304=$B72,'Связи действий'!$O$5:$O$304=$H72,'Связи действий'!$P$5:$P$304=$I72)),0)))"),"")</f>
        <v/>
      </c>
      <c r="L72" s="55"/>
      <c r="M72" s="23" t="str">
        <f t="shared" si="1"/>
        <v/>
      </c>
      <c r="P72" s="23"/>
      <c r="Q72" s="58"/>
      <c r="R72" s="58"/>
    </row>
    <row r="73">
      <c r="A73" s="23"/>
      <c r="B73" s="23"/>
      <c r="D73" s="23"/>
      <c r="E73" s="23"/>
      <c r="F73" s="23"/>
      <c r="G73" s="23"/>
      <c r="H73" s="23"/>
      <c r="I73" s="23"/>
      <c r="J73" s="23"/>
      <c r="K73" s="55" t="str">
        <f>IFERROR(__xludf.DUMMYFUNCTION("IF($A73="""","""",MAX(IFERROR(INDEX('Процессы'!$T$5:$T$204,MATCH($B73,'Процессы'!$A$5:$A$204,0)),0),IFERROR(MAX(FILTER('Действия'!$Q$5:$Q$304,'Действия'!$B$5:$B$304=$B73,'Действия'!$L$5:$L$304=$H73,'Действия'!$M$5:$M$304=$I73)),0),IFERROR(MAX(FILTER('Связ"&amp;"и действий'!$U$5:$U$304,'Связи действий'!$B$5:$B$304=$B73,'Связи действий'!$O$5:$O$304=$H73,'Связи действий'!$P$5:$P$304=$I73)),0)))"),"")</f>
        <v/>
      </c>
      <c r="L73" s="55"/>
      <c r="M73" s="23" t="str">
        <f t="shared" si="1"/>
        <v/>
      </c>
      <c r="P73" s="23"/>
      <c r="Q73" s="58"/>
      <c r="R73" s="58"/>
    </row>
    <row r="74">
      <c r="A74" s="23"/>
      <c r="B74" s="23"/>
      <c r="D74" s="23"/>
      <c r="E74" s="23"/>
      <c r="F74" s="23"/>
      <c r="G74" s="23"/>
      <c r="H74" s="23"/>
      <c r="I74" s="23"/>
      <c r="J74" s="23"/>
      <c r="K74" s="55" t="str">
        <f>IFERROR(__xludf.DUMMYFUNCTION("IF($A74="""","""",MAX(IFERROR(INDEX('Процессы'!$T$5:$T$204,MATCH($B74,'Процессы'!$A$5:$A$204,0)),0),IFERROR(MAX(FILTER('Действия'!$Q$5:$Q$304,'Действия'!$B$5:$B$304=$B74,'Действия'!$L$5:$L$304=$H74,'Действия'!$M$5:$M$304=$I74)),0),IFERROR(MAX(FILTER('Связ"&amp;"и действий'!$U$5:$U$304,'Связи действий'!$B$5:$B$304=$B74,'Связи действий'!$O$5:$O$304=$H74,'Связи действий'!$P$5:$P$304=$I74)),0)))"),"")</f>
        <v/>
      </c>
      <c r="L74" s="55"/>
      <c r="M74" s="23" t="str">
        <f t="shared" si="1"/>
        <v/>
      </c>
      <c r="P74" s="23"/>
      <c r="Q74" s="58"/>
      <c r="R74" s="58"/>
    </row>
    <row r="75">
      <c r="A75" s="23"/>
      <c r="B75" s="23"/>
      <c r="D75" s="23"/>
      <c r="E75" s="23"/>
      <c r="F75" s="23"/>
      <c r="G75" s="23"/>
      <c r="H75" s="23"/>
      <c r="I75" s="23"/>
      <c r="J75" s="23"/>
      <c r="K75" s="55" t="str">
        <f>IFERROR(__xludf.DUMMYFUNCTION("IF($A75="""","""",MAX(IFERROR(INDEX('Процессы'!$T$5:$T$204,MATCH($B75,'Процессы'!$A$5:$A$204,0)),0),IFERROR(MAX(FILTER('Действия'!$Q$5:$Q$304,'Действия'!$B$5:$B$304=$B75,'Действия'!$L$5:$L$304=$H75,'Действия'!$M$5:$M$304=$I75)),0),IFERROR(MAX(FILTER('Связ"&amp;"и действий'!$U$5:$U$304,'Связи действий'!$B$5:$B$304=$B75,'Связи действий'!$O$5:$O$304=$H75,'Связи действий'!$P$5:$P$304=$I75)),0)))"),"")</f>
        <v/>
      </c>
      <c r="L75" s="55"/>
      <c r="M75" s="23" t="str">
        <f t="shared" si="1"/>
        <v/>
      </c>
      <c r="P75" s="23"/>
      <c r="Q75" s="58"/>
      <c r="R75" s="58"/>
    </row>
    <row r="76">
      <c r="A76" s="23"/>
      <c r="B76" s="23"/>
      <c r="D76" s="23"/>
      <c r="E76" s="23"/>
      <c r="F76" s="23"/>
      <c r="G76" s="23"/>
      <c r="H76" s="23"/>
      <c r="I76" s="23"/>
      <c r="J76" s="23"/>
      <c r="K76" s="55" t="str">
        <f>IFERROR(__xludf.DUMMYFUNCTION("IF($A76="""","""",MAX(IFERROR(INDEX('Процессы'!$T$5:$T$204,MATCH($B76,'Процессы'!$A$5:$A$204,0)),0),IFERROR(MAX(FILTER('Действия'!$Q$5:$Q$304,'Действия'!$B$5:$B$304=$B76,'Действия'!$L$5:$L$304=$H76,'Действия'!$M$5:$M$304=$I76)),0),IFERROR(MAX(FILTER('Связ"&amp;"и действий'!$U$5:$U$304,'Связи действий'!$B$5:$B$304=$B76,'Связи действий'!$O$5:$O$304=$H76,'Связи действий'!$P$5:$P$304=$I76)),0)))"),"")</f>
        <v/>
      </c>
      <c r="L76" s="55"/>
      <c r="M76" s="23" t="str">
        <f t="shared" si="1"/>
        <v/>
      </c>
      <c r="P76" s="23"/>
      <c r="Q76" s="58"/>
      <c r="R76" s="58"/>
    </row>
    <row r="77">
      <c r="A77" s="23"/>
      <c r="B77" s="23"/>
      <c r="D77" s="23"/>
      <c r="E77" s="23"/>
      <c r="F77" s="23"/>
      <c r="G77" s="23"/>
      <c r="H77" s="23"/>
      <c r="I77" s="23"/>
      <c r="J77" s="23"/>
      <c r="K77" s="55" t="str">
        <f>IFERROR(__xludf.DUMMYFUNCTION("IF($A77="""","""",MAX(IFERROR(INDEX('Процессы'!$T$5:$T$204,MATCH($B77,'Процессы'!$A$5:$A$204,0)),0),IFERROR(MAX(FILTER('Действия'!$Q$5:$Q$304,'Действия'!$B$5:$B$304=$B77,'Действия'!$L$5:$L$304=$H77,'Действия'!$M$5:$M$304=$I77)),0),IFERROR(MAX(FILTER('Связ"&amp;"и действий'!$U$5:$U$304,'Связи действий'!$B$5:$B$304=$B77,'Связи действий'!$O$5:$O$304=$H77,'Связи действий'!$P$5:$P$304=$I77)),0)))"),"")</f>
        <v/>
      </c>
      <c r="L77" s="55"/>
      <c r="M77" s="23" t="str">
        <f t="shared" si="1"/>
        <v/>
      </c>
      <c r="P77" s="23"/>
      <c r="Q77" s="58"/>
      <c r="R77" s="58"/>
    </row>
    <row r="78">
      <c r="A78" s="23"/>
      <c r="B78" s="23"/>
      <c r="D78" s="23"/>
      <c r="E78" s="23"/>
      <c r="F78" s="23"/>
      <c r="G78" s="23"/>
      <c r="H78" s="23"/>
      <c r="I78" s="23"/>
      <c r="J78" s="23"/>
      <c r="K78" s="55" t="str">
        <f>IFERROR(__xludf.DUMMYFUNCTION("IF($A78="""","""",MAX(IFERROR(INDEX('Процессы'!$T$5:$T$204,MATCH($B78,'Процессы'!$A$5:$A$204,0)),0),IFERROR(MAX(FILTER('Действия'!$Q$5:$Q$304,'Действия'!$B$5:$B$304=$B78,'Действия'!$L$5:$L$304=$H78,'Действия'!$M$5:$M$304=$I78)),0),IFERROR(MAX(FILTER('Связ"&amp;"и действий'!$U$5:$U$304,'Связи действий'!$B$5:$B$304=$B78,'Связи действий'!$O$5:$O$304=$H78,'Связи действий'!$P$5:$P$304=$I78)),0)))"),"")</f>
        <v/>
      </c>
      <c r="L78" s="55"/>
      <c r="M78" s="23" t="str">
        <f t="shared" si="1"/>
        <v/>
      </c>
      <c r="P78" s="23"/>
      <c r="Q78" s="58"/>
      <c r="R78" s="58"/>
    </row>
    <row r="79">
      <c r="A79" s="23"/>
      <c r="B79" s="23"/>
      <c r="D79" s="23"/>
      <c r="E79" s="23"/>
      <c r="F79" s="23"/>
      <c r="G79" s="23"/>
      <c r="H79" s="23"/>
      <c r="I79" s="23"/>
      <c r="J79" s="23"/>
      <c r="K79" s="55" t="str">
        <f>IFERROR(__xludf.DUMMYFUNCTION("IF($A79="""","""",MAX(IFERROR(INDEX('Процессы'!$T$5:$T$204,MATCH($B79,'Процессы'!$A$5:$A$204,0)),0),IFERROR(MAX(FILTER('Действия'!$Q$5:$Q$304,'Действия'!$B$5:$B$304=$B79,'Действия'!$L$5:$L$304=$H79,'Действия'!$M$5:$M$304=$I79)),0),IFERROR(MAX(FILTER('Связ"&amp;"и действий'!$U$5:$U$304,'Связи действий'!$B$5:$B$304=$B79,'Связи действий'!$O$5:$O$304=$H79,'Связи действий'!$P$5:$P$304=$I79)),0)))"),"")</f>
        <v/>
      </c>
      <c r="L79" s="55"/>
      <c r="M79" s="23" t="str">
        <f t="shared" si="1"/>
        <v/>
      </c>
      <c r="P79" s="23"/>
      <c r="Q79" s="58"/>
      <c r="R79" s="58"/>
    </row>
    <row r="80">
      <c r="A80" s="23"/>
      <c r="B80" s="23"/>
      <c r="D80" s="23"/>
      <c r="E80" s="23"/>
      <c r="F80" s="23"/>
      <c r="G80" s="23"/>
      <c r="H80" s="23"/>
      <c r="I80" s="23"/>
      <c r="J80" s="23"/>
      <c r="K80" s="55" t="str">
        <f>IFERROR(__xludf.DUMMYFUNCTION("IF($A80="""","""",MAX(IFERROR(INDEX('Процессы'!$T$5:$T$204,MATCH($B80,'Процессы'!$A$5:$A$204,0)),0),IFERROR(MAX(FILTER('Действия'!$Q$5:$Q$304,'Действия'!$B$5:$B$304=$B80,'Действия'!$L$5:$L$304=$H80,'Действия'!$M$5:$M$304=$I80)),0),IFERROR(MAX(FILTER('Связ"&amp;"и действий'!$U$5:$U$304,'Связи действий'!$B$5:$B$304=$B80,'Связи действий'!$O$5:$O$304=$H80,'Связи действий'!$P$5:$P$304=$I80)),0)))"),"")</f>
        <v/>
      </c>
      <c r="L80" s="55"/>
      <c r="M80" s="23" t="str">
        <f t="shared" si="1"/>
        <v/>
      </c>
      <c r="P80" s="23"/>
      <c r="Q80" s="58"/>
      <c r="R80" s="58"/>
    </row>
    <row r="81">
      <c r="A81" s="23"/>
      <c r="B81" s="23"/>
      <c r="D81" s="23"/>
      <c r="E81" s="23"/>
      <c r="F81" s="23"/>
      <c r="G81" s="23"/>
      <c r="H81" s="23"/>
      <c r="I81" s="23"/>
      <c r="J81" s="23"/>
      <c r="K81" s="55" t="str">
        <f>IFERROR(__xludf.DUMMYFUNCTION("IF($A81="""","""",MAX(IFERROR(INDEX('Процессы'!$T$5:$T$204,MATCH($B81,'Процессы'!$A$5:$A$204,0)),0),IFERROR(MAX(FILTER('Действия'!$Q$5:$Q$304,'Действия'!$B$5:$B$304=$B81,'Действия'!$L$5:$L$304=$H81,'Действия'!$M$5:$M$304=$I81)),0),IFERROR(MAX(FILTER('Связ"&amp;"и действий'!$U$5:$U$304,'Связи действий'!$B$5:$B$304=$B81,'Связи действий'!$O$5:$O$304=$H81,'Связи действий'!$P$5:$P$304=$I81)),0)))"),"")</f>
        <v/>
      </c>
      <c r="L81" s="55"/>
      <c r="M81" s="23" t="str">
        <f t="shared" si="1"/>
        <v/>
      </c>
      <c r="P81" s="23"/>
      <c r="Q81" s="58"/>
      <c r="R81" s="58"/>
    </row>
    <row r="82">
      <c r="A82" s="23"/>
      <c r="B82" s="23"/>
      <c r="D82" s="23"/>
      <c r="E82" s="23"/>
      <c r="F82" s="23"/>
      <c r="G82" s="23"/>
      <c r="H82" s="23"/>
      <c r="I82" s="23"/>
      <c r="J82" s="23"/>
      <c r="K82" s="55" t="str">
        <f>IFERROR(__xludf.DUMMYFUNCTION("IF($A82="""","""",MAX(IFERROR(INDEX('Процессы'!$T$5:$T$204,MATCH($B82,'Процессы'!$A$5:$A$204,0)),0),IFERROR(MAX(FILTER('Действия'!$Q$5:$Q$304,'Действия'!$B$5:$B$304=$B82,'Действия'!$L$5:$L$304=$H82,'Действия'!$M$5:$M$304=$I82)),0),IFERROR(MAX(FILTER('Связ"&amp;"и действий'!$U$5:$U$304,'Связи действий'!$B$5:$B$304=$B82,'Связи действий'!$O$5:$O$304=$H82,'Связи действий'!$P$5:$P$304=$I82)),0)))"),"")</f>
        <v/>
      </c>
      <c r="L82" s="55"/>
      <c r="M82" s="23" t="str">
        <f t="shared" si="1"/>
        <v/>
      </c>
      <c r="P82" s="23"/>
      <c r="Q82" s="58"/>
      <c r="R82" s="58"/>
    </row>
    <row r="83">
      <c r="A83" s="23"/>
      <c r="B83" s="23"/>
      <c r="D83" s="23"/>
      <c r="E83" s="23"/>
      <c r="F83" s="23"/>
      <c r="G83" s="23"/>
      <c r="H83" s="23"/>
      <c r="I83" s="23"/>
      <c r="J83" s="23"/>
      <c r="K83" s="55" t="str">
        <f>IFERROR(__xludf.DUMMYFUNCTION("IF($A83="""","""",MAX(IFERROR(INDEX('Процессы'!$T$5:$T$204,MATCH($B83,'Процессы'!$A$5:$A$204,0)),0),IFERROR(MAX(FILTER('Действия'!$Q$5:$Q$304,'Действия'!$B$5:$B$304=$B83,'Действия'!$L$5:$L$304=$H83,'Действия'!$M$5:$M$304=$I83)),0),IFERROR(MAX(FILTER('Связ"&amp;"и действий'!$U$5:$U$304,'Связи действий'!$B$5:$B$304=$B83,'Связи действий'!$O$5:$O$304=$H83,'Связи действий'!$P$5:$P$304=$I83)),0)))"),"")</f>
        <v/>
      </c>
      <c r="L83" s="55"/>
      <c r="M83" s="23" t="str">
        <f t="shared" si="1"/>
        <v/>
      </c>
      <c r="P83" s="23"/>
      <c r="Q83" s="58"/>
      <c r="R83" s="58"/>
    </row>
    <row r="84">
      <c r="A84" s="23"/>
      <c r="B84" s="23"/>
      <c r="D84" s="23"/>
      <c r="E84" s="23"/>
      <c r="F84" s="23"/>
      <c r="G84" s="23"/>
      <c r="H84" s="23"/>
      <c r="I84" s="23"/>
      <c r="J84" s="23"/>
      <c r="K84" s="55" t="str">
        <f>IFERROR(__xludf.DUMMYFUNCTION("IF($A84="""","""",MAX(IFERROR(INDEX('Процессы'!$T$5:$T$204,MATCH($B84,'Процессы'!$A$5:$A$204,0)),0),IFERROR(MAX(FILTER('Действия'!$Q$5:$Q$304,'Действия'!$B$5:$B$304=$B84,'Действия'!$L$5:$L$304=$H84,'Действия'!$M$5:$M$304=$I84)),0),IFERROR(MAX(FILTER('Связ"&amp;"и действий'!$U$5:$U$304,'Связи действий'!$B$5:$B$304=$B84,'Связи действий'!$O$5:$O$304=$H84,'Связи действий'!$P$5:$P$304=$I84)),0)))"),"")</f>
        <v/>
      </c>
      <c r="L84" s="55"/>
      <c r="M84" s="23" t="str">
        <f t="shared" si="1"/>
        <v/>
      </c>
      <c r="P84" s="23"/>
      <c r="Q84" s="58"/>
      <c r="R84" s="58"/>
    </row>
    <row r="85">
      <c r="A85" s="23"/>
      <c r="B85" s="23"/>
      <c r="D85" s="23"/>
      <c r="E85" s="23"/>
      <c r="F85" s="23"/>
      <c r="G85" s="23"/>
      <c r="H85" s="23"/>
      <c r="I85" s="23"/>
      <c r="J85" s="23"/>
      <c r="K85" s="55" t="str">
        <f>IFERROR(__xludf.DUMMYFUNCTION("IF($A85="""","""",MAX(IFERROR(INDEX('Процессы'!$T$5:$T$204,MATCH($B85,'Процессы'!$A$5:$A$204,0)),0),IFERROR(MAX(FILTER('Действия'!$Q$5:$Q$304,'Действия'!$B$5:$B$304=$B85,'Действия'!$L$5:$L$304=$H85,'Действия'!$M$5:$M$304=$I85)),0),IFERROR(MAX(FILTER('Связ"&amp;"и действий'!$U$5:$U$304,'Связи действий'!$B$5:$B$304=$B85,'Связи действий'!$O$5:$O$304=$H85,'Связи действий'!$P$5:$P$304=$I85)),0)))"),"")</f>
        <v/>
      </c>
      <c r="L85" s="55"/>
      <c r="M85" s="23" t="str">
        <f t="shared" si="1"/>
        <v/>
      </c>
      <c r="P85" s="23"/>
      <c r="Q85" s="58"/>
      <c r="R85" s="58"/>
    </row>
    <row r="86">
      <c r="A86" s="23"/>
      <c r="B86" s="23"/>
      <c r="D86" s="23"/>
      <c r="E86" s="23"/>
      <c r="F86" s="23"/>
      <c r="G86" s="23"/>
      <c r="H86" s="23"/>
      <c r="I86" s="23"/>
      <c r="J86" s="23"/>
      <c r="K86" s="55" t="str">
        <f>IFERROR(__xludf.DUMMYFUNCTION("IF($A86="""","""",MAX(IFERROR(INDEX('Процессы'!$T$5:$T$204,MATCH($B86,'Процессы'!$A$5:$A$204,0)),0),IFERROR(MAX(FILTER('Действия'!$Q$5:$Q$304,'Действия'!$B$5:$B$304=$B86,'Действия'!$L$5:$L$304=$H86,'Действия'!$M$5:$M$304=$I86)),0),IFERROR(MAX(FILTER('Связ"&amp;"и действий'!$U$5:$U$304,'Связи действий'!$B$5:$B$304=$B86,'Связи действий'!$O$5:$O$304=$H86,'Связи действий'!$P$5:$P$304=$I86)),0)))"),"")</f>
        <v/>
      </c>
      <c r="L86" s="55"/>
      <c r="M86" s="23" t="str">
        <f t="shared" si="1"/>
        <v/>
      </c>
      <c r="P86" s="23"/>
      <c r="Q86" s="58"/>
      <c r="R86" s="58"/>
    </row>
    <row r="87">
      <c r="A87" s="23"/>
      <c r="B87" s="23"/>
      <c r="D87" s="23"/>
      <c r="E87" s="23"/>
      <c r="F87" s="23"/>
      <c r="G87" s="23"/>
      <c r="H87" s="23"/>
      <c r="I87" s="23"/>
      <c r="J87" s="23"/>
      <c r="K87" s="55" t="str">
        <f>IFERROR(__xludf.DUMMYFUNCTION("IF($A87="""","""",MAX(IFERROR(INDEX('Процессы'!$T$5:$T$204,MATCH($B87,'Процессы'!$A$5:$A$204,0)),0),IFERROR(MAX(FILTER('Действия'!$Q$5:$Q$304,'Действия'!$B$5:$B$304=$B87,'Действия'!$L$5:$L$304=$H87,'Действия'!$M$5:$M$304=$I87)),0),IFERROR(MAX(FILTER('Связ"&amp;"и действий'!$U$5:$U$304,'Связи действий'!$B$5:$B$304=$B87,'Связи действий'!$O$5:$O$304=$H87,'Связи действий'!$P$5:$P$304=$I87)),0)))"),"")</f>
        <v/>
      </c>
      <c r="L87" s="55"/>
      <c r="M87" s="23" t="str">
        <f t="shared" si="1"/>
        <v/>
      </c>
      <c r="P87" s="23"/>
      <c r="Q87" s="58"/>
      <c r="R87" s="58"/>
    </row>
    <row r="88">
      <c r="A88" s="23"/>
      <c r="B88" s="23"/>
      <c r="D88" s="23"/>
      <c r="E88" s="23"/>
      <c r="F88" s="23"/>
      <c r="G88" s="23"/>
      <c r="H88" s="23"/>
      <c r="I88" s="23"/>
      <c r="J88" s="23"/>
      <c r="K88" s="55" t="str">
        <f>IFERROR(__xludf.DUMMYFUNCTION("IF($A88="""","""",MAX(IFERROR(INDEX('Процессы'!$T$5:$T$204,MATCH($B88,'Процессы'!$A$5:$A$204,0)),0),IFERROR(MAX(FILTER('Действия'!$Q$5:$Q$304,'Действия'!$B$5:$B$304=$B88,'Действия'!$L$5:$L$304=$H88,'Действия'!$M$5:$M$304=$I88)),0),IFERROR(MAX(FILTER('Связ"&amp;"и действий'!$U$5:$U$304,'Связи действий'!$B$5:$B$304=$B88,'Связи действий'!$O$5:$O$304=$H88,'Связи действий'!$P$5:$P$304=$I88)),0)))"),"")</f>
        <v/>
      </c>
      <c r="L88" s="55"/>
      <c r="M88" s="23" t="str">
        <f t="shared" si="1"/>
        <v/>
      </c>
      <c r="P88" s="23"/>
      <c r="Q88" s="58"/>
      <c r="R88" s="58"/>
    </row>
    <row r="89">
      <c r="A89" s="23"/>
      <c r="B89" s="23"/>
      <c r="D89" s="23"/>
      <c r="E89" s="23"/>
      <c r="F89" s="23"/>
      <c r="G89" s="23"/>
      <c r="H89" s="23"/>
      <c r="I89" s="23"/>
      <c r="J89" s="23"/>
      <c r="K89" s="55" t="str">
        <f>IFERROR(__xludf.DUMMYFUNCTION("IF($A89="""","""",MAX(IFERROR(INDEX('Процессы'!$T$5:$T$204,MATCH($B89,'Процессы'!$A$5:$A$204,0)),0),IFERROR(MAX(FILTER('Действия'!$Q$5:$Q$304,'Действия'!$B$5:$B$304=$B89,'Действия'!$L$5:$L$304=$H89,'Действия'!$M$5:$M$304=$I89)),0),IFERROR(MAX(FILTER('Связ"&amp;"и действий'!$U$5:$U$304,'Связи действий'!$B$5:$B$304=$B89,'Связи действий'!$O$5:$O$304=$H89,'Связи действий'!$P$5:$P$304=$I89)),0)))"),"")</f>
        <v/>
      </c>
      <c r="L89" s="55"/>
      <c r="M89" s="23" t="str">
        <f t="shared" si="1"/>
        <v/>
      </c>
      <c r="P89" s="23"/>
      <c r="Q89" s="58"/>
      <c r="R89" s="58"/>
    </row>
    <row r="90">
      <c r="A90" s="23"/>
      <c r="B90" s="23"/>
      <c r="D90" s="23"/>
      <c r="E90" s="23"/>
      <c r="F90" s="23"/>
      <c r="G90" s="23"/>
      <c r="H90" s="23"/>
      <c r="I90" s="23"/>
      <c r="J90" s="23"/>
      <c r="K90" s="55" t="str">
        <f>IFERROR(__xludf.DUMMYFUNCTION("IF($A90="""","""",MAX(IFERROR(INDEX('Процессы'!$T$5:$T$204,MATCH($B90,'Процессы'!$A$5:$A$204,0)),0),IFERROR(MAX(FILTER('Действия'!$Q$5:$Q$304,'Действия'!$B$5:$B$304=$B90,'Действия'!$L$5:$L$304=$H90,'Действия'!$M$5:$M$304=$I90)),0),IFERROR(MAX(FILTER('Связ"&amp;"и действий'!$U$5:$U$304,'Связи действий'!$B$5:$B$304=$B90,'Связи действий'!$O$5:$O$304=$H90,'Связи действий'!$P$5:$P$304=$I90)),0)))"),"")</f>
        <v/>
      </c>
      <c r="L90" s="55"/>
      <c r="M90" s="23" t="str">
        <f t="shared" si="1"/>
        <v/>
      </c>
      <c r="P90" s="23"/>
      <c r="Q90" s="58"/>
      <c r="R90" s="58"/>
    </row>
    <row r="91">
      <c r="A91" s="23"/>
      <c r="B91" s="23"/>
      <c r="D91" s="23"/>
      <c r="E91" s="23"/>
      <c r="F91" s="23"/>
      <c r="G91" s="23"/>
      <c r="H91" s="23"/>
      <c r="I91" s="23"/>
      <c r="J91" s="23"/>
      <c r="K91" s="55" t="str">
        <f>IFERROR(__xludf.DUMMYFUNCTION("IF($A91="""","""",MAX(IFERROR(INDEX('Процессы'!$T$5:$T$204,MATCH($B91,'Процессы'!$A$5:$A$204,0)),0),IFERROR(MAX(FILTER('Действия'!$Q$5:$Q$304,'Действия'!$B$5:$B$304=$B91,'Действия'!$L$5:$L$304=$H91,'Действия'!$M$5:$M$304=$I91)),0),IFERROR(MAX(FILTER('Связ"&amp;"и действий'!$U$5:$U$304,'Связи действий'!$B$5:$B$304=$B91,'Связи действий'!$O$5:$O$304=$H91,'Связи действий'!$P$5:$P$304=$I91)),0)))"),"")</f>
        <v/>
      </c>
      <c r="L91" s="55"/>
      <c r="M91" s="23" t="str">
        <f t="shared" si="1"/>
        <v/>
      </c>
      <c r="P91" s="23"/>
      <c r="Q91" s="58"/>
      <c r="R91" s="58"/>
    </row>
    <row r="92">
      <c r="A92" s="23"/>
      <c r="B92" s="23"/>
      <c r="D92" s="23"/>
      <c r="E92" s="23"/>
      <c r="F92" s="23"/>
      <c r="G92" s="23"/>
      <c r="H92" s="23"/>
      <c r="I92" s="23"/>
      <c r="J92" s="23"/>
      <c r="K92" s="55" t="str">
        <f>IFERROR(__xludf.DUMMYFUNCTION("IF($A92="""","""",MAX(IFERROR(INDEX('Процессы'!$T$5:$T$204,MATCH($B92,'Процессы'!$A$5:$A$204,0)),0),IFERROR(MAX(FILTER('Действия'!$Q$5:$Q$304,'Действия'!$B$5:$B$304=$B92,'Действия'!$L$5:$L$304=$H92,'Действия'!$M$5:$M$304=$I92)),0),IFERROR(MAX(FILTER('Связ"&amp;"и действий'!$U$5:$U$304,'Связи действий'!$B$5:$B$304=$B92,'Связи действий'!$O$5:$O$304=$H92,'Связи действий'!$P$5:$P$304=$I92)),0)))"),"")</f>
        <v/>
      </c>
      <c r="L92" s="55"/>
      <c r="M92" s="23" t="str">
        <f t="shared" si="1"/>
        <v/>
      </c>
      <c r="P92" s="23"/>
      <c r="Q92" s="58"/>
      <c r="R92" s="58"/>
    </row>
    <row r="93">
      <c r="A93" s="23"/>
      <c r="B93" s="23"/>
      <c r="D93" s="23"/>
      <c r="E93" s="23"/>
      <c r="F93" s="23"/>
      <c r="G93" s="23"/>
      <c r="H93" s="23"/>
      <c r="I93" s="23"/>
      <c r="J93" s="23"/>
      <c r="K93" s="55" t="str">
        <f>IFERROR(__xludf.DUMMYFUNCTION("IF($A93="""","""",MAX(IFERROR(INDEX('Процессы'!$T$5:$T$204,MATCH($B93,'Процессы'!$A$5:$A$204,0)),0),IFERROR(MAX(FILTER('Действия'!$Q$5:$Q$304,'Действия'!$B$5:$B$304=$B93,'Действия'!$L$5:$L$304=$H93,'Действия'!$M$5:$M$304=$I93)),0),IFERROR(MAX(FILTER('Связ"&amp;"и действий'!$U$5:$U$304,'Связи действий'!$B$5:$B$304=$B93,'Связи действий'!$O$5:$O$304=$H93,'Связи действий'!$P$5:$P$304=$I93)),0)))"),"")</f>
        <v/>
      </c>
      <c r="L93" s="55"/>
      <c r="M93" s="23" t="str">
        <f t="shared" si="1"/>
        <v/>
      </c>
      <c r="P93" s="23"/>
      <c r="Q93" s="58"/>
      <c r="R93" s="58"/>
    </row>
    <row r="94">
      <c r="A94" s="23"/>
      <c r="B94" s="23"/>
      <c r="D94" s="23"/>
      <c r="E94" s="23"/>
      <c r="F94" s="23"/>
      <c r="G94" s="23"/>
      <c r="H94" s="23"/>
      <c r="I94" s="23"/>
      <c r="J94" s="23"/>
      <c r="K94" s="55" t="str">
        <f>IFERROR(__xludf.DUMMYFUNCTION("IF($A94="""","""",MAX(IFERROR(INDEX('Процессы'!$T$5:$T$204,MATCH($B94,'Процессы'!$A$5:$A$204,0)),0),IFERROR(MAX(FILTER('Действия'!$Q$5:$Q$304,'Действия'!$B$5:$B$304=$B94,'Действия'!$L$5:$L$304=$H94,'Действия'!$M$5:$M$304=$I94)),0),IFERROR(MAX(FILTER('Связ"&amp;"и действий'!$U$5:$U$304,'Связи действий'!$B$5:$B$304=$B94,'Связи действий'!$O$5:$O$304=$H94,'Связи действий'!$P$5:$P$304=$I94)),0)))"),"")</f>
        <v/>
      </c>
      <c r="L94" s="55"/>
      <c r="M94" s="23" t="str">
        <f t="shared" si="1"/>
        <v/>
      </c>
      <c r="P94" s="23"/>
      <c r="Q94" s="58"/>
      <c r="R94" s="58"/>
    </row>
    <row r="95">
      <c r="A95" s="23"/>
      <c r="B95" s="23"/>
      <c r="D95" s="23"/>
      <c r="E95" s="23"/>
      <c r="F95" s="23"/>
      <c r="G95" s="23"/>
      <c r="H95" s="23"/>
      <c r="I95" s="23"/>
      <c r="J95" s="23"/>
      <c r="K95" s="55" t="str">
        <f>IFERROR(__xludf.DUMMYFUNCTION("IF($A95="""","""",MAX(IFERROR(INDEX('Процессы'!$T$5:$T$204,MATCH($B95,'Процессы'!$A$5:$A$204,0)),0),IFERROR(MAX(FILTER('Действия'!$Q$5:$Q$304,'Действия'!$B$5:$B$304=$B95,'Действия'!$L$5:$L$304=$H95,'Действия'!$M$5:$M$304=$I95)),0),IFERROR(MAX(FILTER('Связ"&amp;"и действий'!$U$5:$U$304,'Связи действий'!$B$5:$B$304=$B95,'Связи действий'!$O$5:$O$304=$H95,'Связи действий'!$P$5:$P$304=$I95)),0)))"),"")</f>
        <v/>
      </c>
      <c r="L95" s="55"/>
      <c r="M95" s="23" t="str">
        <f t="shared" si="1"/>
        <v/>
      </c>
      <c r="P95" s="23"/>
      <c r="Q95" s="58"/>
      <c r="R95" s="58"/>
    </row>
    <row r="96">
      <c r="A96" s="23"/>
      <c r="B96" s="23"/>
      <c r="D96" s="23"/>
      <c r="E96" s="23"/>
      <c r="F96" s="23"/>
      <c r="G96" s="23"/>
      <c r="H96" s="23"/>
      <c r="I96" s="23"/>
      <c r="J96" s="23"/>
      <c r="K96" s="55" t="str">
        <f>IFERROR(__xludf.DUMMYFUNCTION("IF($A96="""","""",MAX(IFERROR(INDEX('Процессы'!$T$5:$T$204,MATCH($B96,'Процессы'!$A$5:$A$204,0)),0),IFERROR(MAX(FILTER('Действия'!$Q$5:$Q$304,'Действия'!$B$5:$B$304=$B96,'Действия'!$L$5:$L$304=$H96,'Действия'!$M$5:$M$304=$I96)),0),IFERROR(MAX(FILTER('Связ"&amp;"и действий'!$U$5:$U$304,'Связи действий'!$B$5:$B$304=$B96,'Связи действий'!$O$5:$O$304=$H96,'Связи действий'!$P$5:$P$304=$I96)),0)))"),"")</f>
        <v/>
      </c>
      <c r="L96" s="55"/>
      <c r="M96" s="23" t="str">
        <f t="shared" si="1"/>
        <v/>
      </c>
      <c r="P96" s="23"/>
      <c r="Q96" s="58"/>
      <c r="R96" s="58"/>
    </row>
    <row r="97">
      <c r="A97" s="23"/>
      <c r="B97" s="23"/>
      <c r="D97" s="23"/>
      <c r="E97" s="23"/>
      <c r="F97" s="23"/>
      <c r="G97" s="23"/>
      <c r="H97" s="23"/>
      <c r="I97" s="23"/>
      <c r="J97" s="23"/>
      <c r="K97" s="55" t="str">
        <f>IFERROR(__xludf.DUMMYFUNCTION("IF($A97="""","""",MAX(IFERROR(INDEX('Процессы'!$T$5:$T$204,MATCH($B97,'Процессы'!$A$5:$A$204,0)),0),IFERROR(MAX(FILTER('Действия'!$Q$5:$Q$304,'Действия'!$B$5:$B$304=$B97,'Действия'!$L$5:$L$304=$H97,'Действия'!$M$5:$M$304=$I97)),0),IFERROR(MAX(FILTER('Связ"&amp;"и действий'!$U$5:$U$304,'Связи действий'!$B$5:$B$304=$B97,'Связи действий'!$O$5:$O$304=$H97,'Связи действий'!$P$5:$P$304=$I97)),0)))"),"")</f>
        <v/>
      </c>
      <c r="L97" s="55"/>
      <c r="M97" s="23" t="str">
        <f t="shared" si="1"/>
        <v/>
      </c>
      <c r="P97" s="23"/>
      <c r="Q97" s="58"/>
      <c r="R97" s="58"/>
    </row>
    <row r="98">
      <c r="A98" s="23"/>
      <c r="B98" s="23"/>
      <c r="D98" s="23"/>
      <c r="E98" s="23"/>
      <c r="F98" s="23"/>
      <c r="G98" s="23"/>
      <c r="H98" s="23"/>
      <c r="I98" s="23"/>
      <c r="J98" s="23"/>
      <c r="K98" s="55" t="str">
        <f>IFERROR(__xludf.DUMMYFUNCTION("IF($A98="""","""",MAX(IFERROR(INDEX('Процессы'!$T$5:$T$204,MATCH($B98,'Процессы'!$A$5:$A$204,0)),0),IFERROR(MAX(FILTER('Действия'!$Q$5:$Q$304,'Действия'!$B$5:$B$304=$B98,'Действия'!$L$5:$L$304=$H98,'Действия'!$M$5:$M$304=$I98)),0),IFERROR(MAX(FILTER('Связ"&amp;"и действий'!$U$5:$U$304,'Связи действий'!$B$5:$B$304=$B98,'Связи действий'!$O$5:$O$304=$H98,'Связи действий'!$P$5:$P$304=$I98)),0)))"),"")</f>
        <v/>
      </c>
      <c r="L98" s="55"/>
      <c r="M98" s="23" t="str">
        <f t="shared" si="1"/>
        <v/>
      </c>
      <c r="P98" s="23"/>
      <c r="Q98" s="58"/>
      <c r="R98" s="58"/>
    </row>
    <row r="99">
      <c r="A99" s="23"/>
      <c r="B99" s="23"/>
      <c r="D99" s="23"/>
      <c r="E99" s="23"/>
      <c r="F99" s="23"/>
      <c r="G99" s="23"/>
      <c r="H99" s="23"/>
      <c r="I99" s="23"/>
      <c r="J99" s="23"/>
      <c r="K99" s="55" t="str">
        <f>IFERROR(__xludf.DUMMYFUNCTION("IF($A99="""","""",MAX(IFERROR(INDEX('Процессы'!$T$5:$T$204,MATCH($B99,'Процессы'!$A$5:$A$204,0)),0),IFERROR(MAX(FILTER('Действия'!$Q$5:$Q$304,'Действия'!$B$5:$B$304=$B99,'Действия'!$L$5:$L$304=$H99,'Действия'!$M$5:$M$304=$I99)),0),IFERROR(MAX(FILTER('Связ"&amp;"и действий'!$U$5:$U$304,'Связи действий'!$B$5:$B$304=$B99,'Связи действий'!$O$5:$O$304=$H99,'Связи действий'!$P$5:$P$304=$I99)),0)))"),"")</f>
        <v/>
      </c>
      <c r="L99" s="55"/>
      <c r="M99" s="23" t="str">
        <f t="shared" si="1"/>
        <v/>
      </c>
      <c r="P99" s="23"/>
      <c r="Q99" s="58"/>
      <c r="R99" s="58"/>
    </row>
    <row r="100">
      <c r="A100" s="23"/>
      <c r="B100" s="23"/>
      <c r="D100" s="23"/>
      <c r="E100" s="23"/>
      <c r="F100" s="23"/>
      <c r="G100" s="23"/>
      <c r="H100" s="23"/>
      <c r="I100" s="23"/>
      <c r="J100" s="23"/>
      <c r="K100" s="55" t="str">
        <f>IFERROR(__xludf.DUMMYFUNCTION("IF($A100="""","""",MAX(IFERROR(INDEX('Процессы'!$T$5:$T$204,MATCH($B100,'Процессы'!$A$5:$A$204,0)),0),IFERROR(MAX(FILTER('Действия'!$Q$5:$Q$304,'Действия'!$B$5:$B$304=$B100,'Действия'!$L$5:$L$304=$H100,'Действия'!$M$5:$M$304=$I100)),0),IFERROR(MAX(FILTER("&amp;"'Связи действий'!$U$5:$U$304,'Связи действий'!$B$5:$B$304=$B100,'Связи действий'!$O$5:$O$304=$H100,'Связи действий'!$P$5:$P$304=$I100)),0)))"),"")</f>
        <v/>
      </c>
      <c r="L100" s="55"/>
      <c r="M100" s="23" t="str">
        <f t="shared" si="1"/>
        <v/>
      </c>
      <c r="P100" s="23"/>
      <c r="Q100" s="58"/>
      <c r="R100" s="58"/>
    </row>
    <row r="101">
      <c r="A101" s="23"/>
      <c r="B101" s="23"/>
      <c r="D101" s="23"/>
      <c r="E101" s="23"/>
      <c r="F101" s="23"/>
      <c r="G101" s="23"/>
      <c r="H101" s="23"/>
      <c r="I101" s="23"/>
      <c r="J101" s="23"/>
      <c r="K101" s="55" t="str">
        <f>IFERROR(__xludf.DUMMYFUNCTION("IF($A101="""","""",MAX(IFERROR(INDEX('Процессы'!$T$5:$T$204,MATCH($B101,'Процессы'!$A$5:$A$204,0)),0),IFERROR(MAX(FILTER('Действия'!$Q$5:$Q$304,'Действия'!$B$5:$B$304=$B101,'Действия'!$L$5:$L$304=$H101,'Действия'!$M$5:$M$304=$I101)),0),IFERROR(MAX(FILTER("&amp;"'Связи действий'!$U$5:$U$304,'Связи действий'!$B$5:$B$304=$B101,'Связи действий'!$O$5:$O$304=$H101,'Связи действий'!$P$5:$P$304=$I101)),0)))"),"")</f>
        <v/>
      </c>
      <c r="L101" s="55"/>
      <c r="M101" s="23" t="str">
        <f t="shared" si="1"/>
        <v/>
      </c>
      <c r="P101" s="23"/>
      <c r="Q101" s="58"/>
      <c r="R101" s="58"/>
    </row>
    <row r="102">
      <c r="A102" s="23"/>
      <c r="B102" s="23"/>
      <c r="D102" s="23"/>
      <c r="E102" s="23"/>
      <c r="F102" s="23"/>
      <c r="G102" s="23"/>
      <c r="H102" s="23"/>
      <c r="I102" s="23"/>
      <c r="J102" s="23"/>
      <c r="K102" s="55" t="str">
        <f>IFERROR(__xludf.DUMMYFUNCTION("IF($A102="""","""",MAX(IFERROR(INDEX('Процессы'!$T$5:$T$204,MATCH($B102,'Процессы'!$A$5:$A$204,0)),0),IFERROR(MAX(FILTER('Действия'!$Q$5:$Q$304,'Действия'!$B$5:$B$304=$B102,'Действия'!$L$5:$L$304=$H102,'Действия'!$M$5:$M$304=$I102)),0),IFERROR(MAX(FILTER("&amp;"'Связи действий'!$U$5:$U$304,'Связи действий'!$B$5:$B$304=$B102,'Связи действий'!$O$5:$O$304=$H102,'Связи действий'!$P$5:$P$304=$I102)),0)))"),"")</f>
        <v/>
      </c>
      <c r="L102" s="55"/>
      <c r="M102" s="23" t="str">
        <f t="shared" si="1"/>
        <v/>
      </c>
      <c r="P102" s="23"/>
      <c r="Q102" s="58"/>
      <c r="R102" s="58"/>
    </row>
    <row r="103">
      <c r="A103" s="23"/>
      <c r="B103" s="23"/>
      <c r="D103" s="23"/>
      <c r="E103" s="23"/>
      <c r="F103" s="23"/>
      <c r="G103" s="23"/>
      <c r="H103" s="23"/>
      <c r="I103" s="23"/>
      <c r="J103" s="23"/>
      <c r="K103" s="55" t="str">
        <f>IFERROR(__xludf.DUMMYFUNCTION("IF($A103="""","""",MAX(IFERROR(INDEX('Процессы'!$T$5:$T$204,MATCH($B103,'Процессы'!$A$5:$A$204,0)),0),IFERROR(MAX(FILTER('Действия'!$Q$5:$Q$304,'Действия'!$B$5:$B$304=$B103,'Действия'!$L$5:$L$304=$H103,'Действия'!$M$5:$M$304=$I103)),0),IFERROR(MAX(FILTER("&amp;"'Связи действий'!$U$5:$U$304,'Связи действий'!$B$5:$B$304=$B103,'Связи действий'!$O$5:$O$304=$H103,'Связи действий'!$P$5:$P$304=$I103)),0)))"),"")</f>
        <v/>
      </c>
      <c r="L103" s="55"/>
      <c r="M103" s="23" t="str">
        <f t="shared" si="1"/>
        <v/>
      </c>
      <c r="P103" s="23"/>
      <c r="Q103" s="58"/>
      <c r="R103" s="58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55" t="str">
        <f>IFERROR(__xludf.DUMMYFUNCTION("IF($A104="""","""",MAX(IFERROR(INDEX('Процессы'!$T$5:$T$204,MATCH($B104,'Процессы'!$A$5:$A$204,0)),0),IFERROR(MAX(FILTER('Действия'!$Q$5:$Q$304,'Действия'!$B$5:$B$304=$B104,'Действия'!$L$5:$L$304=$H104,'Действия'!$M$5:$M$304=$I104)),0),IFERROR(MAX(FILTER("&amp;"'Связи действий'!$U$5:$U$304,'Связи действий'!$B$5:$B$304=$B104,'Связи действий'!$O$5:$O$304=$H104,'Связи действий'!$P$5:$P$304=$I104)),0)))"),"")</f>
        <v/>
      </c>
      <c r="L104" s="60"/>
      <c r="M104" s="23" t="str">
        <f t="shared" si="1"/>
        <v/>
      </c>
      <c r="N104" s="45"/>
      <c r="P104" s="45"/>
      <c r="Q104" s="61"/>
      <c r="R104" s="58"/>
      <c r="S104" s="45"/>
    </row>
  </sheetData>
  <autoFilter ref="$A$4:$S$104"/>
  <mergeCells count="3">
    <mergeCell ref="A1:S1"/>
    <mergeCell ref="A2:S2"/>
    <mergeCell ref="A3:S3"/>
  </mergeCells>
  <conditionalFormatting sqref="M5:M104">
    <cfRule type="cellIs" dxfId="4" priority="1" stopIfTrue="1" operator="equal">
      <formula>"актуальна"</formula>
    </cfRule>
  </conditionalFormatting>
  <conditionalFormatting sqref="M5:M104">
    <cfRule type="cellIs" dxfId="2" priority="2" stopIfTrue="1" operator="equal">
      <formula>"требует обновления"</formula>
    </cfRule>
  </conditionalFormatting>
  <conditionalFormatting sqref="M5:M104">
    <cfRule type="cellIs" dxfId="0" priority="3" stopIfTrue="1" operator="equal">
      <formula>"не сгенерирована"</formula>
    </cfRule>
  </conditionalFormatting>
  <conditionalFormatting sqref="N5:N104">
    <cfRule type="cellIs" dxfId="2" priority="4" stopIfTrue="1" operator="equal">
      <formula>"уточняется"</formula>
    </cfRule>
  </conditionalFormatting>
  <conditionalFormatting sqref="N5:N104">
    <cfRule type="cellIs" dxfId="1" priority="5" stopIfTrue="1" operator="equal">
      <formula>"не исполняется"</formula>
    </cfRule>
  </conditionalFormatting>
  <conditionalFormatting sqref="N5:N104">
    <cfRule type="cellIs" dxfId="4" priority="6" stopIfTrue="1" operator="equal">
      <formula>"исполняется"</formula>
    </cfRule>
  </conditionalFormatting>
  <conditionalFormatting sqref="O5:O104">
    <cfRule type="cellIs" dxfId="0" priority="7" stopIfTrue="1" operator="equal">
      <formula>"unknown"</formula>
    </cfRule>
  </conditionalFormatting>
  <conditionalFormatting sqref="O5:O104">
    <cfRule type="cellIs" dxfId="1" priority="8" stopIfTrue="1" operator="equal">
      <formula>"conflict"</formula>
    </cfRule>
  </conditionalFormatting>
  <conditionalFormatting sqref="O5:O104">
    <cfRule type="cellIs" dxfId="2" priority="9" stopIfTrue="1" operator="equal">
      <formula>"hypothesis"</formula>
    </cfRule>
  </conditionalFormatting>
  <conditionalFormatting sqref="O5:O104">
    <cfRule type="cellIs" dxfId="3" priority="10" stopIfTrue="1" operator="equal">
      <formula>"candidate"</formula>
    </cfRule>
  </conditionalFormatting>
  <conditionalFormatting sqref="O5:O104">
    <cfRule type="cellIs" dxfId="4" priority="11" stopIfTrue="1" operator="equal">
      <formula>"accepted"</formula>
    </cfRule>
  </conditionalFormatting>
  <dataValidations>
    <dataValidation type="list" allowBlank="1" showInputMessage="1" showErrorMessage="1" prompt="Процесс" sqref="B5:B104">
      <formula1>'Система'!$Y$33:$Y$232</formula1>
    </dataValidation>
    <dataValidation type="list" allowBlank="1" showInputMessage="1" showErrorMessage="1" prompt="Тип диаграммы" sqref="D5:D104">
      <formula1>'Система'!$A$51:$A$53</formula1>
    </dataValidation>
    <dataValidation type="list" allowBlank="1" showInputMessage="1" showErrorMessage="1" prompt="Статус жизненного цикла" sqref="J5:J104">
      <formula1>'Система'!$D$33:$D$37</formula1>
    </dataValidation>
    <dataValidation type="list" allowBlank="1" showInputMessage="1" showErrorMessage="1" prompt="Слой модели" sqref="H5:H104">
      <formula1>'Система'!$B$33:$B$34</formula1>
    </dataValidation>
    <dataValidation type="list" allowBlank="1" showInputMessage="1" showErrorMessage="1" prompt="Направление" sqref="F5:F104">
      <formula1>'Система'!$C$51:$C$52</formula1>
    </dataValidation>
    <dataValidation type="list" allowBlank="1" showInputMessage="1" showErrorMessage="1" prompt="Дорожки" sqref="G5:G104">
      <formula1>'Система'!$D$51:$D$52</formula1>
    </dataValidation>
    <dataValidation type="custom" allowBlank="1" showDropDown="1" showInputMessage="1" showErrorMessage="1" prompt="Стабильный ID формата dgm-..." sqref="A5:A104">
      <formula1>OR(A5="",REGEXMATCH(A5,"^dgm-[A-Za-z0-9._-]+$"))</formula1>
    </dataValidation>
    <dataValidation type="list" allowBlank="1" showInputMessage="1" showErrorMessage="1" prompt="Нотация" sqref="E5:E104">
      <formula1>'Система'!$B$51:$B$53</formula1>
    </dataValidation>
    <dataValidation type="list" allowBlank="1" showInputMessage="1" showErrorMessage="1" prompt="Версия" sqref="I5:I104">
      <formula1>'Система'!$AE$33:$AE$132</formula1>
    </dataValidation>
    <dataValidation type="list" allowBlank="1" showInputMessage="1" showErrorMessage="1" prompt="Источник" sqref="P5:P104">
      <formula1>'Система'!$AF$33:$AF$232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2" width="14.5"/>
    <col customWidth="1" min="3" max="4" width="18.88"/>
    <col customWidth="1" min="5" max="5" width="27.63"/>
    <col customWidth="1" min="6" max="6" width="17.63"/>
    <col customWidth="1" min="7" max="8" width="18.88"/>
    <col customWidth="1" min="9" max="9" width="25.13"/>
    <col customWidth="1" min="10" max="10" width="18.88"/>
    <col customWidth="1" min="11" max="11" width="11.38"/>
    <col customWidth="1" min="12" max="13" width="14.5"/>
    <col customWidth="1" min="14" max="14" width="18.88"/>
    <col customWidth="1" min="15" max="16" width="16.38"/>
    <col customWidth="1" min="17" max="17" width="27.63"/>
  </cols>
  <sheetData>
    <row r="1" ht="22.5" customHeight="1">
      <c r="A1" s="53" t="s">
        <v>729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1.5" customHeight="1">
      <c r="A2" s="5" t="s">
        <v>731</v>
      </c>
    </row>
    <row r="3">
      <c r="A3" s="56" t="s">
        <v>698</v>
      </c>
      <c r="B3" s="57"/>
      <c r="C3" s="56" t="s">
        <v>147</v>
      </c>
      <c r="D3" s="59" t="str">
        <f t="array" ref="D3">IFERROR(INDEX('Диаграммы'!$B$5:$B$104,MATCH($B$3,'Диаграммы'!$A$5:$A$104,0)),"")</f>
        <v/>
      </c>
      <c r="E3" s="56" t="s">
        <v>699</v>
      </c>
      <c r="F3" s="59" t="str">
        <f t="array" ref="F3">IFERROR(INDEX('Диаграммы'!$M$5:$M$104,MATCH($B$3,'Диаграммы'!$A$5:$A$104,0)),"")</f>
        <v/>
      </c>
      <c r="G3" s="56" t="s">
        <v>696</v>
      </c>
      <c r="H3" s="59" t="str">
        <f t="array" ref="H3">IFERROR(INDEX('Диаграммы'!$H$5:$H$104,MATCH($B$3,'Диаграммы'!$A$5:$A$104,0)),"")</f>
        <v/>
      </c>
      <c r="I3" s="56" t="s">
        <v>697</v>
      </c>
      <c r="J3" s="59" t="str">
        <f t="array" ref="J3">IFERROR(INDEX('Диаграммы'!$I$5:$I$104,MATCH($B$3,'Диаграммы'!$A$5:$A$104,0)),"")</f>
        <v/>
      </c>
    </row>
    <row r="4" ht="31.5" customHeight="1">
      <c r="A4" s="43" t="s">
        <v>732</v>
      </c>
    </row>
    <row r="6" ht="43.5" customHeight="1">
      <c r="A6" s="49" t="s">
        <v>733</v>
      </c>
      <c r="B6" s="49" t="s">
        <v>734</v>
      </c>
      <c r="C6" s="49" t="s">
        <v>735</v>
      </c>
      <c r="D6" s="49" t="s">
        <v>736</v>
      </c>
      <c r="E6" s="49" t="s">
        <v>737</v>
      </c>
      <c r="F6" s="49" t="s">
        <v>738</v>
      </c>
      <c r="G6" s="49" t="s">
        <v>740</v>
      </c>
      <c r="H6" s="49" t="s">
        <v>741</v>
      </c>
      <c r="I6" s="49" t="s">
        <v>742</v>
      </c>
      <c r="J6" s="49" t="s">
        <v>743</v>
      </c>
      <c r="K6" s="49" t="s">
        <v>744</v>
      </c>
      <c r="L6" s="49" t="s">
        <v>673</v>
      </c>
      <c r="M6" s="49" t="s">
        <v>674</v>
      </c>
      <c r="N6" s="49" t="s">
        <v>745</v>
      </c>
      <c r="O6" s="49" t="s">
        <v>746</v>
      </c>
      <c r="P6" s="49" t="s">
        <v>747</v>
      </c>
      <c r="Q6" s="49" t="s">
        <v>52</v>
      </c>
    </row>
    <row r="7">
      <c r="A7" s="23" t="str">
        <f>IFERROR(__xludf.DUMMYFUNCTION("IF($B$3="""","""",LET(
did,$B$3,
pid,IFNA(INDEX('Диаграммы'!$B$5:$B$104,MATCH(did,'Диаграммы'!$A$5:$A$104,0)),""""),
layer,IFNA(INDEX('Диаграммы'!$H$5:$H$104,MATCH(did,'Диаграммы'!$A$5:$A$104,0)),""""),
ver,IFNA(INDEX('Диаграммы'!$I$5:$I$104,MATCH(did,'Ди"&amp;"аграммы'!$A$5:$A$104,0)),""""),
laneMode,IFNA(INDEX('Диаграммы'!$G$5:$G$104,MATCH(did,'Диаграммы'!$A$5:$A$104,0)),""""),
procUpdated,IFNA(INDEX('Процессы'!$T$5:$T$204,MATCH(pid,'Процессы'!$A$5:$A$204,0)),""""),
blankRow,HSTACK("""","""","""","""","""","""&amp;""","""","""","""","""","""","""","""","""","""","""",""""),
actMask,ARRAYFORMULA(('Действия'!$B$5:$B$304=pid)*('Действия'!$L$5:$L$304=layer)*('Действия'!$M$5:$M$304=ver)*('Действия'!$X$5:$X$304=""да"")),
laneIds,IFERROR(UNIQUE(FILTER(ARRAYFORMULA(IF('Дейс"&amp;"твия'!$Z$5:$Z$304&lt;&gt;"""",'Действия'!$Z$5:$Z$304,'Действия'!$H$5:$H$304)),actMask)),""""),
laneRows,ARRAYFORMULA(HSTACK(
IF((laneMode=""по позициям"")*(laneIds&lt;&gt;""""),""дорожка"",""""),
IF(laneIds&lt;&gt;"""",did,""""),
IF(laneIds&lt;&gt;"""",""lane::""&amp;laneIds,""""),
"&amp;"IF(laneIds&lt;&gt;"""","""",""""),
IF(laneIds&lt;&gt;"""",IFNA(VLOOKUP(laneIds,'Позиции'!$A$5:$C$204,3,FALSE),laneIds),""""),
IF(laneIds&lt;&gt;"""",""swimlane"",""""),
IF(laneIds&lt;&gt;"""","""",""""),IF(laneIds&lt;&gt;"""","""",""""),IF(laneIds&lt;&gt;"""","""",""""),
laneIds,SEQUENCE(RO"&amp;"WS(laneIds)),IF(laneIds&lt;&gt;"""",layer,""""),IF(laneIds&lt;&gt;"""",ver,""""),
IF(laneIds&lt;&gt;"""","""",""""),IF(laneIds&lt;&gt;"""",""Позиции"",""""),IF(laneIds&lt;&gt;"""","""",""""),IF(laneIds&lt;&gt;"""","""","""")
)),
startRow,HSTACK(""событие"",did,""evt-start::""&amp;pid,"""",""Ста"&amp;"рт"",""start-event"","""","""","""","""",0,layer,ver,"""",""Процессы"",procUpdated,""""),
actRows,IFERROR(FILTER(ARRAYFORMULA(HSTACK(
IF('Действия'!$A$5:$A$304&lt;&gt;"""",""узел"",""""),
IF('Действия'!$A$5:$A$304&lt;&gt;"""",did,""""),
'Действия'!$A$5:$A$304,
IF(lan"&amp;"eMode=""по позициям"",""lane::""&amp;IF('Действия'!$Z$5:$Z$304&lt;&gt;"""",'Действия'!$Z$5:$Z$304,'Действия'!$H$5:$H$304),""""),
IF('Действия'!$W$5:$W$304&lt;&gt;"""",'Действия'!$W$5:$W$304,'Действия'!$C$5:$C$304),
IFNA(VLOOKUP('Действия'!$D$5:$D$304,'Система'!$A$61:$B$6"&amp;"8,2,FALSE),""task""),
IF('Действия'!$A$5:$A$304&lt;&gt;"""","""",""""),IF('Действия'!$A$5:$A$304&lt;&gt;"""","""",""""),IF('Действия'!$A$5:$A$304&lt;&gt;"""","""",""""),
IF('Действия'!$Z$5:$Z$304&lt;&gt;"""",'Действия'!$Z$5:$Z$304,'Действия'!$H$5:$H$304),
'Действия'!$Y$5:$Y$304,"&amp;"'Действия'!$L$5:$L$304,'Действия'!$M$5:$M$304,'Действия'!$V$5:$V$304,
IF('Действия'!$A$5:$A$304&lt;&gt;"""",""Действия"",""""),'Действия'!$Q$5:$Q$304,'Действия'!$S$5:$S$304
)),actMask),blankRow),
edgeMask,ARRAYFORMULA(('Связи действий'!$B$5:$B$304=pid)*('Связи "&amp;"действий'!$O$5:$O$304=layer)*('Связи действий'!$P$5:$P$304=ver)*('Связи действий'!$S$5:$S$304=""да"")),
edgeRows,IFERROR(FILTER(ARRAYFORMULA(HSTACK(
IF('Связи действий'!$A$5:$A$304&lt;&gt;"""",""связь"",""""),
IF('Связи действий'!$A$5:$A$304&lt;&gt;"""",did,""""),
'С"&amp;"вязи действий'!$A$5:$A$304,
IF('Связи действий'!$A$5:$A$304&lt;&gt;"""","""",""""),IF('Связи действий'!$A$5:$A$304&lt;&gt;"""","""",""""),
IFNA(VLOOKUP('Связи действий'!$D$5:$D$304,'Система'!$F$61:$G$65,2,FALSE),""sequence""),
IF('Связи действий'!$I$5:$I$304=""да"","&amp;"""evt-start::""&amp;pid,'Связи действий'!$C$5:$C$304),
IF('Связи действий'!$J$5:$J$304=""да"",""evt-end::""&amp;pid,'Связи действий'!$E$5:$E$304),
IF('Связи действий'!$Q$5:$Q$304&lt;&gt;"""",'Связи действий'!$Q$5:$Q$304,'Связи действий'!$F$5:$F$304),
IF('Связи действий"&amp;"'!$A$5:$A$304&lt;&gt;"""","""",""""),'Связи действий'!$T$5:$T$304,
'Связи действий'!$O$5:$O$304,'Связи действий'!$P$5:$P$304,
IF('Связи действий'!$A$5:$A$304&lt;&gt;"""","""",""""),
IF('Связи действий'!$A$5:$A$304&lt;&gt;"""",""Связи действий"",""""),'Связи действий'!$U$5:"&amp;"$U$304,'Связи действий'!$N$5:$N$304
)),edgeMask),blankRow),
endRow,HSTACK(""событие"",did,""evt-end::""&amp;pid,"""",""Завершение"",""end-event"","""","""","""","""",999999,layer,ver,"""",""Процессы"",procUpdated,""""),
allRows,VSTACK(laneRows,startRow,actRow"&amp;"s,edgeRows,endRow),
FILTER(allRows,CHOOSECOLS(allRows,1)&lt;&gt;"""")
))"),"")</f>
        <v/>
      </c>
    </row>
  </sheetData>
  <mergeCells count="3">
    <mergeCell ref="A1:Q1"/>
    <mergeCell ref="A2:Q2"/>
    <mergeCell ref="A4:Q4"/>
  </mergeCells>
  <conditionalFormatting sqref="Q7:Q206">
    <cfRule type="cellIs" dxfId="2" priority="1" stopIfTrue="1" operator="equal">
      <formula>"Есть пробелы"</formula>
    </cfRule>
  </conditionalFormatting>
  <conditionalFormatting sqref="Q7:Q206">
    <cfRule type="cellIs" dxfId="4" priority="2" stopIfTrue="1" operator="equal">
      <formula>"Готово"</formula>
    </cfRule>
  </conditionalFormatting>
  <dataValidations>
    <dataValidation type="list" allowBlank="1" showInputMessage="1" showErrorMessage="1" prompt="Выберите диаграмму" sqref="B3">
      <formula1>'Система'!$AL$33:$AL$132</formula1>
    </dataValidation>
  </dataValidations>
  <drawing r:id="rId1"/>
</worksheet>
</file>